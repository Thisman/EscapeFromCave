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SO" sheetId="1" r:id="rId4"/>
  </sheets>
  <definedNames/>
  <calcPr/>
</workbook>
</file>

<file path=xl/sharedStrings.xml><?xml version="1.0" encoding="utf-8"?>
<sst xmlns="http://schemas.openxmlformats.org/spreadsheetml/2006/main" count="440" uniqueCount="170">
  <si>
    <t>ID</t>
  </si>
  <si>
    <t>Icon</t>
  </si>
  <si>
    <t>UnitName</t>
  </si>
  <si>
    <t>Kind</t>
  </si>
  <si>
    <t>AttackKind</t>
  </si>
  <si>
    <t>DamageType</t>
  </si>
  <si>
    <t>BaseHealth</t>
  </si>
  <si>
    <t>BasePhysicalDefense</t>
  </si>
  <si>
    <t>BaseMagicDefense</t>
  </si>
  <si>
    <t>BaseAbsoluteDefense</t>
  </si>
  <si>
    <t>MinDamage</t>
  </si>
  <si>
    <t>MaxDamage</t>
  </si>
  <si>
    <t>Speed</t>
  </si>
  <si>
    <t>BaseCritChance</t>
  </si>
  <si>
    <t>BaseCritMultiplier</t>
  </si>
  <si>
    <t>BaseMissChance</t>
  </si>
  <si>
    <t>Abilities</t>
  </si>
  <si>
    <t>HeroKnight</t>
  </si>
  <si>
    <t>rogues_5</t>
  </si>
  <si>
    <t>Knight</t>
  </si>
  <si>
    <t>Hero</t>
  </si>
  <si>
    <t>Melee</t>
  </si>
  <si>
    <t>Physical</t>
  </si>
  <si>
    <t>FireSword, HolyShield</t>
  </si>
  <si>
    <t>HeroMage</t>
  </si>
  <si>
    <t>rogues_24</t>
  </si>
  <si>
    <t>Mage</t>
  </si>
  <si>
    <t>Magic</t>
  </si>
  <si>
    <t>Magical</t>
  </si>
  <si>
    <t>FireBall</t>
  </si>
  <si>
    <t>HeroRouge</t>
  </si>
  <si>
    <t>rogues_3</t>
  </si>
  <si>
    <t>Rouge</t>
  </si>
  <si>
    <t>Pure</t>
  </si>
  <si>
    <t>Backstub</t>
  </si>
  <si>
    <t>Archer</t>
  </si>
  <si>
    <t>rogues_2</t>
  </si>
  <si>
    <t>Ally</t>
  </si>
  <si>
    <t>Range</t>
  </si>
  <si>
    <t>rogues_9</t>
  </si>
  <si>
    <t>rogues_26</t>
  </si>
  <si>
    <t>Orc</t>
  </si>
  <si>
    <t>monsters_0</t>
  </si>
  <si>
    <t>Enemy</t>
  </si>
  <si>
    <t>Orcwizard</t>
  </si>
  <si>
    <t>monsters_1</t>
  </si>
  <si>
    <t>Goblin</t>
  </si>
  <si>
    <t>monsters_2</t>
  </si>
  <si>
    <t>Orcblademaster</t>
  </si>
  <si>
    <t>monsters_3</t>
  </si>
  <si>
    <t>Orcwarchief</t>
  </si>
  <si>
    <t>monsters_4</t>
  </si>
  <si>
    <t>Goblinarcher</t>
  </si>
  <si>
    <t>monsters_5</t>
  </si>
  <si>
    <t>Goblinmage</t>
  </si>
  <si>
    <t>monsters_6</t>
  </si>
  <si>
    <t>Goblinbrute</t>
  </si>
  <si>
    <t>monsters_7</t>
  </si>
  <si>
    <t>Ettin</t>
  </si>
  <si>
    <t>monsters_8</t>
  </si>
  <si>
    <t>Twoheadedettin</t>
  </si>
  <si>
    <t>monsters_9</t>
  </si>
  <si>
    <t>Troll</t>
  </si>
  <si>
    <t>monsters_10</t>
  </si>
  <si>
    <t>Smallslime</t>
  </si>
  <si>
    <t>monsters_11</t>
  </si>
  <si>
    <t>Bigslime</t>
  </si>
  <si>
    <t>monsters_12</t>
  </si>
  <si>
    <t>Slimebody</t>
  </si>
  <si>
    <t>monsters_13</t>
  </si>
  <si>
    <t>Mergedslimebodies</t>
  </si>
  <si>
    <t>monsters_14</t>
  </si>
  <si>
    <t>Facelessmonk</t>
  </si>
  <si>
    <t>monsters_15</t>
  </si>
  <si>
    <t>Unholycardinal</t>
  </si>
  <si>
    <t>monsters_16</t>
  </si>
  <si>
    <t>Skeleton</t>
  </si>
  <si>
    <t>monsters_17</t>
  </si>
  <si>
    <t>Skeletonarcher</t>
  </si>
  <si>
    <t>monsters_18</t>
  </si>
  <si>
    <t>Lich</t>
  </si>
  <si>
    <t>monsters_19</t>
  </si>
  <si>
    <t>Deathknight</t>
  </si>
  <si>
    <t>monsters_20</t>
  </si>
  <si>
    <t>Zombie</t>
  </si>
  <si>
    <t>monsters_21</t>
  </si>
  <si>
    <t>Ghoul</t>
  </si>
  <si>
    <t>monsters_22</t>
  </si>
  <si>
    <t>Banshee</t>
  </si>
  <si>
    <t>monsters_23</t>
  </si>
  <si>
    <t>Reaper</t>
  </si>
  <si>
    <t>monsters_24</t>
  </si>
  <si>
    <t>Wraith</t>
  </si>
  <si>
    <t>monsters_25</t>
  </si>
  <si>
    <t>Cultist</t>
  </si>
  <si>
    <t>monsters_26</t>
  </si>
  <si>
    <t>Hagwitch</t>
  </si>
  <si>
    <t>monsters_27</t>
  </si>
  <si>
    <t>Giantcentipede</t>
  </si>
  <si>
    <t>monsters_28</t>
  </si>
  <si>
    <t>Lampreymander</t>
  </si>
  <si>
    <t>monsters_29</t>
  </si>
  <si>
    <t>Giantearthworm</t>
  </si>
  <si>
    <t>monsters_30</t>
  </si>
  <si>
    <t>Manticore</t>
  </si>
  <si>
    <t>monsters_31</t>
  </si>
  <si>
    <t>Giantant</t>
  </si>
  <si>
    <t>monsters_32</t>
  </si>
  <si>
    <t>Lycanthrope</t>
  </si>
  <si>
    <t>monsters_33</t>
  </si>
  <si>
    <t>Giantbata</t>
  </si>
  <si>
    <t>monsters_34</t>
  </si>
  <si>
    <t>Lessergiantant</t>
  </si>
  <si>
    <t>monsters_35</t>
  </si>
  <si>
    <t>Giantspider</t>
  </si>
  <si>
    <t>monsters_36</t>
  </si>
  <si>
    <t>Lessergiantspider</t>
  </si>
  <si>
    <t>monsters_37</t>
  </si>
  <si>
    <t>Wargdirewolf</t>
  </si>
  <si>
    <t>monsters_38</t>
  </si>
  <si>
    <t>Giantrat</t>
  </si>
  <si>
    <t>monsters_39</t>
  </si>
  <si>
    <t>Dryad</t>
  </si>
  <si>
    <t>monsters_40</t>
  </si>
  <si>
    <t>Wendigo</t>
  </si>
  <si>
    <t>monsters_41</t>
  </si>
  <si>
    <t>Rockgolem</t>
  </si>
  <si>
    <t>monsters_42</t>
  </si>
  <si>
    <t>Centaur</t>
  </si>
  <si>
    <t>monsters_43</t>
  </si>
  <si>
    <t>Naga</t>
  </si>
  <si>
    <t>monsters_44</t>
  </si>
  <si>
    <t>Forestspirit</t>
  </si>
  <si>
    <t>monsters_45</t>
  </si>
  <si>
    <t>Satyr</t>
  </si>
  <si>
    <t>monsters_46</t>
  </si>
  <si>
    <t>Minotaur</t>
  </si>
  <si>
    <t>monsters_47</t>
  </si>
  <si>
    <t>Harpy</t>
  </si>
  <si>
    <t>monsters_48</t>
  </si>
  <si>
    <t>Gorgonmedusa</t>
  </si>
  <si>
    <t>monsters_49</t>
  </si>
  <si>
    <t>Lizardfolkkoboldreptile</t>
  </si>
  <si>
    <t>monsters_50</t>
  </si>
  <si>
    <t>Drakelesserdragon</t>
  </si>
  <si>
    <t>monsters_51</t>
  </si>
  <si>
    <t>Dragon</t>
  </si>
  <si>
    <t>monsters_52</t>
  </si>
  <si>
    <t>Cockatrice</t>
  </si>
  <si>
    <t>monsters_53</t>
  </si>
  <si>
    <t>Basilisk</t>
  </si>
  <si>
    <t>monsters_54</t>
  </si>
  <si>
    <t>Smallkoboldcanine</t>
  </si>
  <si>
    <t>monsters_55</t>
  </si>
  <si>
    <t>Koboldcanine</t>
  </si>
  <si>
    <t>monsters_56</t>
  </si>
  <si>
    <t>Smallmyconid</t>
  </si>
  <si>
    <t>monsters_57</t>
  </si>
  <si>
    <t>Largemyconid</t>
  </si>
  <si>
    <t>monsters_58</t>
  </si>
  <si>
    <t>Angelarchangel</t>
  </si>
  <si>
    <t>monsters_59</t>
  </si>
  <si>
    <t>Impdevil</t>
  </si>
  <si>
    <t>monsters_60</t>
  </si>
  <si>
    <t>Smallwrithingmass</t>
  </si>
  <si>
    <t>monsters_61</t>
  </si>
  <si>
    <t>Largewrithingmass</t>
  </si>
  <si>
    <t>monsters_62</t>
  </si>
  <si>
    <t>Writhinghumanoid</t>
  </si>
  <si>
    <t>monsters_63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</si>
</sst>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1" xfId="0" applyAlignment="1" applyFont="1" applyNumberFormat="1">
      <alignment horizontal="left" readingOrder="0" vertical="center"/>
    </xf>
    <xf borderId="0" fillId="0" fontId="1" numFmtId="1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1" numFmtId="1" xfId="0" applyAlignment="1" applyFont="1" applyNumberFormat="1">
      <alignment horizontal="left" vertical="center"/>
    </xf>
    <xf borderId="0" fillId="0" fontId="1" numFmtId="1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0.75"/>
    <col customWidth="1" min="3" max="3" width="20.63"/>
    <col customWidth="1" min="4" max="4" width="11.13"/>
    <col customWidth="1" min="5" max="5" width="10.75"/>
    <col customWidth="1" min="6" max="6" width="12.13"/>
    <col customWidth="1" min="7" max="7" width="9.63"/>
    <col customWidth="1" min="8" max="8" width="17.25"/>
    <col customWidth="1" min="9" max="9" width="15.5"/>
    <col customWidth="1" min="10" max="10" width="17.5"/>
    <col customWidth="1" min="11" max="11" width="12.88"/>
    <col customWidth="1" min="12" max="12" width="12.38"/>
    <col customWidth="1" min="13" max="13" width="9.88"/>
    <col customWidth="1" min="14" max="14" width="16.0"/>
    <col customWidth="1" min="15" max="15" width="14.75"/>
    <col customWidth="1" min="16" max="16" width="14.0"/>
    <col customWidth="1" min="17" max="17" width="24.63"/>
    <col customWidth="1" min="18" max="18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600.0</v>
      </c>
      <c r="H2" s="1">
        <v>0.1</v>
      </c>
      <c r="I2" s="1">
        <v>0.02</v>
      </c>
      <c r="J2" s="1">
        <v>0.1</v>
      </c>
      <c r="K2" s="2">
        <v>60.0</v>
      </c>
      <c r="L2" s="3">
        <v>72.0</v>
      </c>
      <c r="M2" s="3">
        <v>5.0</v>
      </c>
      <c r="N2" s="1">
        <v>0.1</v>
      </c>
      <c r="O2" s="1">
        <v>1.1</v>
      </c>
      <c r="P2" s="1">
        <v>0.05</v>
      </c>
      <c r="Q2" s="1" t="s">
        <v>23</v>
      </c>
      <c r="R2" s="4">
        <f t="shared" ref="R2:R71" si="1">ROUND(
 (
   ((K2+L2)/2)*(1-P2/100)*(1+N2/100*(O2-1))*(1+M2/100)
 ) + (
   G2 + 5*(H2 + I2 + 2*J2)
 )
,0)</f>
        <v>671</v>
      </c>
      <c r="S2" s="4"/>
      <c r="T2" s="4"/>
      <c r="U2" s="4"/>
      <c r="V2" s="4"/>
      <c r="W2" s="4"/>
      <c r="X2" s="4"/>
      <c r="Y2" s="4"/>
      <c r="Z2" s="4"/>
      <c r="AA2" s="4"/>
    </row>
    <row r="3">
      <c r="A3" s="1" t="s">
        <v>24</v>
      </c>
      <c r="B3" s="1" t="s">
        <v>25</v>
      </c>
      <c r="C3" s="1" t="s">
        <v>26</v>
      </c>
      <c r="D3" s="1" t="s">
        <v>20</v>
      </c>
      <c r="E3" s="1" t="s">
        <v>27</v>
      </c>
      <c r="F3" s="1" t="s">
        <v>28</v>
      </c>
      <c r="G3" s="1">
        <v>300.0</v>
      </c>
      <c r="H3" s="1">
        <v>0.05</v>
      </c>
      <c r="I3" s="1">
        <v>0.2</v>
      </c>
      <c r="J3" s="1">
        <v>0.1</v>
      </c>
      <c r="K3" s="2">
        <v>80.0</v>
      </c>
      <c r="L3" s="2">
        <v>80.0</v>
      </c>
      <c r="M3" s="1">
        <v>5.0</v>
      </c>
      <c r="N3" s="1">
        <v>0.1</v>
      </c>
      <c r="O3" s="1">
        <v>1.1</v>
      </c>
      <c r="P3" s="1">
        <v>0.05</v>
      </c>
      <c r="Q3" s="1" t="s">
        <v>29</v>
      </c>
      <c r="R3" s="4">
        <f t="shared" si="1"/>
        <v>386</v>
      </c>
      <c r="S3" s="4"/>
      <c r="T3" s="4"/>
      <c r="U3" s="4"/>
      <c r="V3" s="4"/>
      <c r="W3" s="4"/>
      <c r="X3" s="4"/>
      <c r="Y3" s="4"/>
      <c r="Z3" s="4"/>
      <c r="AA3" s="4"/>
    </row>
    <row r="4">
      <c r="A4" s="1" t="s">
        <v>30</v>
      </c>
      <c r="B4" s="1" t="s">
        <v>31</v>
      </c>
      <c r="C4" s="1" t="s">
        <v>32</v>
      </c>
      <c r="D4" s="1" t="s">
        <v>20</v>
      </c>
      <c r="E4" s="1" t="s">
        <v>21</v>
      </c>
      <c r="F4" s="1" t="s">
        <v>33</v>
      </c>
      <c r="G4" s="1">
        <v>250.0</v>
      </c>
      <c r="H4" s="1">
        <v>0.08</v>
      </c>
      <c r="I4" s="1">
        <v>0.05</v>
      </c>
      <c r="J4" s="1">
        <v>0.1</v>
      </c>
      <c r="K4" s="2">
        <v>75.0</v>
      </c>
      <c r="L4" s="3">
        <v>82.0</v>
      </c>
      <c r="M4" s="1">
        <v>5.0</v>
      </c>
      <c r="N4" s="1">
        <v>0.1</v>
      </c>
      <c r="O4" s="1">
        <v>1.3</v>
      </c>
      <c r="P4" s="1">
        <v>0.05</v>
      </c>
      <c r="Q4" s="1" t="s">
        <v>34</v>
      </c>
      <c r="R4" s="4">
        <f t="shared" si="1"/>
        <v>334</v>
      </c>
      <c r="S4" s="4"/>
      <c r="T4" s="4"/>
      <c r="U4" s="4"/>
      <c r="V4" s="4"/>
      <c r="W4" s="4"/>
      <c r="X4" s="4"/>
      <c r="Y4" s="4"/>
      <c r="Z4" s="4"/>
      <c r="AA4" s="4"/>
    </row>
    <row r="5" ht="15.0" customHeight="1">
      <c r="A5" s="1" t="s">
        <v>35</v>
      </c>
      <c r="B5" s="1" t="s">
        <v>36</v>
      </c>
      <c r="C5" s="1" t="s">
        <v>35</v>
      </c>
      <c r="D5" s="1" t="s">
        <v>37</v>
      </c>
      <c r="E5" s="1" t="s">
        <v>38</v>
      </c>
      <c r="F5" s="1" t="s">
        <v>22</v>
      </c>
      <c r="G5" s="1">
        <v>60.0</v>
      </c>
      <c r="H5" s="1">
        <v>0.05</v>
      </c>
      <c r="I5" s="1">
        <v>0.05</v>
      </c>
      <c r="J5" s="1">
        <v>0.0</v>
      </c>
      <c r="K5" s="2">
        <v>40.0</v>
      </c>
      <c r="L5" s="3">
        <v>45.0</v>
      </c>
      <c r="M5" s="3">
        <v>2.0</v>
      </c>
      <c r="N5" s="1">
        <v>0.1</v>
      </c>
      <c r="O5" s="1">
        <v>1.2</v>
      </c>
      <c r="P5" s="1">
        <v>0.09</v>
      </c>
      <c r="Q5" s="4"/>
      <c r="R5" s="4">
        <f t="shared" si="1"/>
        <v>104</v>
      </c>
      <c r="S5" s="4"/>
      <c r="T5" s="4"/>
      <c r="U5" s="4"/>
      <c r="V5" s="4"/>
      <c r="W5" s="4"/>
      <c r="X5" s="4"/>
      <c r="Y5" s="4"/>
      <c r="Z5" s="4"/>
      <c r="AA5" s="4"/>
    </row>
    <row r="6">
      <c r="A6" s="1" t="s">
        <v>19</v>
      </c>
      <c r="B6" s="1" t="s">
        <v>39</v>
      </c>
      <c r="C6" s="1" t="s">
        <v>19</v>
      </c>
      <c r="D6" s="1" t="s">
        <v>37</v>
      </c>
      <c r="E6" s="1" t="s">
        <v>21</v>
      </c>
      <c r="F6" s="1" t="s">
        <v>22</v>
      </c>
      <c r="G6" s="1">
        <v>75.0</v>
      </c>
      <c r="H6" s="1">
        <v>0.1</v>
      </c>
      <c r="I6" s="1">
        <v>0.05</v>
      </c>
      <c r="J6" s="1">
        <v>0.0</v>
      </c>
      <c r="K6" s="2">
        <v>35.0</v>
      </c>
      <c r="L6" s="3">
        <v>40.0</v>
      </c>
      <c r="M6" s="3">
        <v>1.0</v>
      </c>
      <c r="N6" s="1">
        <v>0.1</v>
      </c>
      <c r="O6" s="1">
        <v>1.1</v>
      </c>
      <c r="P6" s="1">
        <v>0.07</v>
      </c>
      <c r="Q6" s="4"/>
      <c r="R6" s="4">
        <f t="shared" si="1"/>
        <v>114</v>
      </c>
      <c r="S6" s="4"/>
      <c r="T6" s="4"/>
      <c r="U6" s="4"/>
      <c r="V6" s="4"/>
      <c r="W6" s="4"/>
      <c r="X6" s="4"/>
      <c r="Y6" s="4"/>
      <c r="Z6" s="4"/>
      <c r="AA6" s="4"/>
    </row>
    <row r="7">
      <c r="A7" s="1" t="s">
        <v>26</v>
      </c>
      <c r="B7" s="1" t="s">
        <v>40</v>
      </c>
      <c r="C7" s="1" t="s">
        <v>26</v>
      </c>
      <c r="D7" s="1" t="s">
        <v>37</v>
      </c>
      <c r="E7" s="1" t="s">
        <v>27</v>
      </c>
      <c r="F7" s="1" t="s">
        <v>28</v>
      </c>
      <c r="G7" s="1">
        <v>40.0</v>
      </c>
      <c r="H7" s="1">
        <v>0.05</v>
      </c>
      <c r="I7" s="1">
        <v>0.1</v>
      </c>
      <c r="J7" s="1">
        <v>0.0</v>
      </c>
      <c r="K7" s="2">
        <v>45.0</v>
      </c>
      <c r="L7" s="2">
        <v>45.0</v>
      </c>
      <c r="M7" s="1">
        <v>2.0</v>
      </c>
      <c r="N7" s="1">
        <v>0.08</v>
      </c>
      <c r="O7" s="1">
        <v>1.1</v>
      </c>
      <c r="P7" s="1">
        <v>0.0</v>
      </c>
      <c r="Q7" s="4"/>
      <c r="R7" s="4">
        <f t="shared" si="1"/>
        <v>87</v>
      </c>
      <c r="S7" s="4"/>
      <c r="T7" s="4"/>
      <c r="U7" s="4"/>
      <c r="V7" s="4"/>
      <c r="W7" s="4"/>
      <c r="X7" s="4"/>
      <c r="Y7" s="4"/>
      <c r="Z7" s="4"/>
      <c r="AA7" s="4"/>
    </row>
    <row r="8">
      <c r="A8" s="5" t="s">
        <v>41</v>
      </c>
      <c r="B8" s="6" t="s">
        <v>42</v>
      </c>
      <c r="C8" s="5" t="s">
        <v>41</v>
      </c>
      <c r="D8" s="1" t="s">
        <v>43</v>
      </c>
      <c r="E8" s="7" t="s">
        <v>21</v>
      </c>
      <c r="F8" s="7" t="s">
        <v>22</v>
      </c>
      <c r="G8" s="1">
        <v>50.0</v>
      </c>
      <c r="H8" s="1">
        <v>0.07</v>
      </c>
      <c r="I8" s="1">
        <v>0.02</v>
      </c>
      <c r="J8" s="1">
        <v>0.0</v>
      </c>
      <c r="K8" s="2">
        <v>28.0</v>
      </c>
      <c r="L8" s="3">
        <v>35.0</v>
      </c>
      <c r="M8" s="3">
        <v>1.0</v>
      </c>
      <c r="N8" s="1">
        <v>0.1</v>
      </c>
      <c r="O8" s="1">
        <v>1.1</v>
      </c>
      <c r="P8" s="1">
        <v>0.07</v>
      </c>
      <c r="Q8" s="4"/>
      <c r="R8" s="4">
        <f t="shared" si="1"/>
        <v>82</v>
      </c>
      <c r="S8" s="4"/>
      <c r="T8" s="4"/>
      <c r="U8" s="4"/>
      <c r="V8" s="4"/>
      <c r="W8" s="4"/>
      <c r="X8" s="4"/>
      <c r="Y8" s="4"/>
      <c r="Z8" s="4"/>
      <c r="AA8" s="4"/>
    </row>
    <row r="9">
      <c r="A9" s="5" t="s">
        <v>44</v>
      </c>
      <c r="B9" s="7" t="s">
        <v>45</v>
      </c>
      <c r="C9" s="5" t="s">
        <v>44</v>
      </c>
      <c r="D9" s="1" t="s">
        <v>43</v>
      </c>
      <c r="E9" s="7" t="s">
        <v>27</v>
      </c>
      <c r="F9" s="8" t="s">
        <v>28</v>
      </c>
      <c r="G9" s="1">
        <v>25.0</v>
      </c>
      <c r="H9" s="1">
        <v>0.03</v>
      </c>
      <c r="I9" s="1">
        <v>0.1</v>
      </c>
      <c r="J9" s="1">
        <v>0.0</v>
      </c>
      <c r="K9" s="2">
        <v>35.0</v>
      </c>
      <c r="L9" s="2">
        <v>35.0</v>
      </c>
      <c r="M9" s="1">
        <v>2.0</v>
      </c>
      <c r="N9" s="1">
        <v>0.08</v>
      </c>
      <c r="O9" s="1">
        <v>1.1</v>
      </c>
      <c r="P9" s="1">
        <v>0.0</v>
      </c>
      <c r="Q9" s="4"/>
      <c r="R9" s="4">
        <f t="shared" si="1"/>
        <v>61</v>
      </c>
      <c r="S9" s="4"/>
      <c r="T9" s="4"/>
      <c r="U9" s="4"/>
      <c r="V9" s="4"/>
      <c r="W9" s="4"/>
      <c r="X9" s="4"/>
      <c r="Y9" s="4"/>
      <c r="Z9" s="4"/>
      <c r="AA9" s="4"/>
    </row>
    <row r="10">
      <c r="A10" s="5" t="s">
        <v>46</v>
      </c>
      <c r="B10" s="7" t="s">
        <v>47</v>
      </c>
      <c r="C10" s="5" t="s">
        <v>46</v>
      </c>
      <c r="D10" s="1" t="s">
        <v>43</v>
      </c>
      <c r="E10" s="7" t="s">
        <v>21</v>
      </c>
      <c r="F10" s="7" t="s">
        <v>22</v>
      </c>
      <c r="G10" s="1">
        <v>50.0</v>
      </c>
      <c r="H10" s="1">
        <v>0.07</v>
      </c>
      <c r="I10" s="1">
        <v>0.02</v>
      </c>
      <c r="J10" s="1">
        <v>0.0</v>
      </c>
      <c r="K10" s="2">
        <v>28.0</v>
      </c>
      <c r="L10" s="3">
        <v>35.0</v>
      </c>
      <c r="M10" s="3">
        <v>1.0</v>
      </c>
      <c r="N10" s="1">
        <v>0.1</v>
      </c>
      <c r="O10" s="1">
        <v>1.1</v>
      </c>
      <c r="P10" s="1">
        <v>0.07</v>
      </c>
      <c r="Q10" s="4"/>
      <c r="R10" s="4">
        <f t="shared" si="1"/>
        <v>82</v>
      </c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">
        <v>48</v>
      </c>
      <c r="B11" s="7" t="s">
        <v>49</v>
      </c>
      <c r="C11" s="5" t="s">
        <v>48</v>
      </c>
      <c r="D11" s="1" t="s">
        <v>43</v>
      </c>
      <c r="E11" s="7" t="s">
        <v>21</v>
      </c>
      <c r="F11" s="7" t="s">
        <v>33</v>
      </c>
      <c r="G11" s="1">
        <v>20.0</v>
      </c>
      <c r="H11" s="1">
        <v>0.05</v>
      </c>
      <c r="I11" s="1">
        <v>0.05</v>
      </c>
      <c r="J11" s="1">
        <v>0.0</v>
      </c>
      <c r="K11" s="2">
        <v>45.0</v>
      </c>
      <c r="L11" s="3">
        <v>52.0</v>
      </c>
      <c r="M11" s="1">
        <v>3.0</v>
      </c>
      <c r="N11" s="1">
        <v>0.1</v>
      </c>
      <c r="O11" s="1">
        <v>1.3</v>
      </c>
      <c r="P11" s="1">
        <v>0.1</v>
      </c>
      <c r="Q11" s="4"/>
      <c r="R11" s="4">
        <f t="shared" si="1"/>
        <v>70</v>
      </c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">
        <v>50</v>
      </c>
      <c r="B12" s="7" t="s">
        <v>51</v>
      </c>
      <c r="C12" s="5" t="s">
        <v>50</v>
      </c>
      <c r="D12" s="1" t="s">
        <v>43</v>
      </c>
      <c r="E12" s="7" t="s">
        <v>21</v>
      </c>
      <c r="F12" s="7" t="s">
        <v>22</v>
      </c>
      <c r="G12" s="1">
        <v>50.0</v>
      </c>
      <c r="H12" s="1">
        <v>0.07</v>
      </c>
      <c r="I12" s="1">
        <v>0.02</v>
      </c>
      <c r="J12" s="1">
        <v>0.0</v>
      </c>
      <c r="K12" s="2">
        <v>28.0</v>
      </c>
      <c r="L12" s="3">
        <v>35.0</v>
      </c>
      <c r="M12" s="3">
        <v>1.0</v>
      </c>
      <c r="N12" s="1">
        <v>0.1</v>
      </c>
      <c r="O12" s="1">
        <v>1.1</v>
      </c>
      <c r="P12" s="1">
        <v>0.07</v>
      </c>
      <c r="Q12" s="4"/>
      <c r="R12" s="4">
        <f t="shared" si="1"/>
        <v>82</v>
      </c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">
        <v>52</v>
      </c>
      <c r="B13" s="7" t="s">
        <v>53</v>
      </c>
      <c r="C13" s="5" t="s">
        <v>52</v>
      </c>
      <c r="D13" s="1" t="s">
        <v>43</v>
      </c>
      <c r="E13" s="7" t="s">
        <v>38</v>
      </c>
      <c r="F13" s="7" t="s">
        <v>22</v>
      </c>
      <c r="G13" s="1">
        <v>40.0</v>
      </c>
      <c r="H13" s="1">
        <v>0.05</v>
      </c>
      <c r="I13" s="1">
        <v>0.02</v>
      </c>
      <c r="J13" s="1">
        <v>0.0</v>
      </c>
      <c r="K13" s="2">
        <v>25.0</v>
      </c>
      <c r="L13" s="3">
        <v>37.0</v>
      </c>
      <c r="M13" s="3">
        <v>1.0</v>
      </c>
      <c r="N13" s="1">
        <v>0.1</v>
      </c>
      <c r="O13" s="1">
        <v>1.2</v>
      </c>
      <c r="P13" s="1">
        <v>0.09</v>
      </c>
      <c r="Q13" s="4"/>
      <c r="R13" s="4">
        <f t="shared" si="1"/>
        <v>72</v>
      </c>
      <c r="S13" s="4"/>
      <c r="T13" s="4"/>
      <c r="U13" s="4"/>
      <c r="V13" s="4"/>
      <c r="W13" s="4"/>
      <c r="X13" s="4"/>
      <c r="Y13" s="4"/>
      <c r="Z13" s="4"/>
      <c r="AA13" s="4"/>
    </row>
    <row r="14">
      <c r="A14" s="5" t="s">
        <v>54</v>
      </c>
      <c r="B14" s="7" t="s">
        <v>55</v>
      </c>
      <c r="C14" s="5" t="s">
        <v>54</v>
      </c>
      <c r="D14" s="1" t="s">
        <v>43</v>
      </c>
      <c r="E14" s="7" t="s">
        <v>27</v>
      </c>
      <c r="F14" s="8" t="s">
        <v>28</v>
      </c>
      <c r="G14" s="1">
        <v>25.0</v>
      </c>
      <c r="H14" s="1">
        <v>0.03</v>
      </c>
      <c r="I14" s="1">
        <v>0.1</v>
      </c>
      <c r="J14" s="1">
        <v>0.0</v>
      </c>
      <c r="K14" s="2">
        <v>35.0</v>
      </c>
      <c r="L14" s="2">
        <v>35.0</v>
      </c>
      <c r="M14" s="1">
        <v>2.0</v>
      </c>
      <c r="N14" s="1">
        <v>0.08</v>
      </c>
      <c r="O14" s="1">
        <v>1.1</v>
      </c>
      <c r="P14" s="1">
        <v>0.0</v>
      </c>
      <c r="Q14" s="4"/>
      <c r="R14" s="4">
        <f t="shared" si="1"/>
        <v>61</v>
      </c>
      <c r="S14" s="4"/>
      <c r="T14" s="4"/>
      <c r="U14" s="4"/>
      <c r="V14" s="4"/>
      <c r="W14" s="4"/>
      <c r="X14" s="4"/>
      <c r="Y14" s="4"/>
      <c r="Z14" s="4"/>
      <c r="AA14" s="4"/>
    </row>
    <row r="15">
      <c r="A15" s="5" t="s">
        <v>56</v>
      </c>
      <c r="B15" s="7" t="s">
        <v>57</v>
      </c>
      <c r="C15" s="5" t="s">
        <v>56</v>
      </c>
      <c r="D15" s="1" t="s">
        <v>43</v>
      </c>
      <c r="E15" s="7" t="s">
        <v>21</v>
      </c>
      <c r="F15" s="7" t="s">
        <v>22</v>
      </c>
      <c r="G15" s="1">
        <v>50.0</v>
      </c>
      <c r="H15" s="1">
        <v>0.07</v>
      </c>
      <c r="I15" s="1">
        <v>0.02</v>
      </c>
      <c r="J15" s="1">
        <v>0.0</v>
      </c>
      <c r="K15" s="2">
        <v>28.0</v>
      </c>
      <c r="L15" s="3">
        <v>35.0</v>
      </c>
      <c r="M15" s="3">
        <v>1.0</v>
      </c>
      <c r="N15" s="1">
        <v>0.1</v>
      </c>
      <c r="O15" s="1">
        <v>1.1</v>
      </c>
      <c r="P15" s="1">
        <v>0.07</v>
      </c>
      <c r="Q15" s="4"/>
      <c r="R15" s="4">
        <f t="shared" si="1"/>
        <v>82</v>
      </c>
      <c r="S15" s="4"/>
      <c r="T15" s="4"/>
      <c r="U15" s="4"/>
      <c r="V15" s="4"/>
      <c r="W15" s="4"/>
      <c r="X15" s="4"/>
      <c r="Y15" s="4"/>
      <c r="Z15" s="4"/>
      <c r="AA15" s="4"/>
    </row>
    <row r="16">
      <c r="A16" s="5" t="s">
        <v>58</v>
      </c>
      <c r="B16" s="7" t="s">
        <v>59</v>
      </c>
      <c r="C16" s="5" t="s">
        <v>58</v>
      </c>
      <c r="D16" s="1" t="s">
        <v>43</v>
      </c>
      <c r="E16" s="7" t="s">
        <v>21</v>
      </c>
      <c r="F16" s="7" t="s">
        <v>22</v>
      </c>
      <c r="G16" s="1">
        <v>50.0</v>
      </c>
      <c r="H16" s="1">
        <v>0.07</v>
      </c>
      <c r="I16" s="1">
        <v>0.02</v>
      </c>
      <c r="J16" s="1">
        <v>0.0</v>
      </c>
      <c r="K16" s="2">
        <v>28.0</v>
      </c>
      <c r="L16" s="3">
        <v>35.0</v>
      </c>
      <c r="M16" s="3">
        <v>1.0</v>
      </c>
      <c r="N16" s="1">
        <v>0.1</v>
      </c>
      <c r="O16" s="1">
        <v>1.1</v>
      </c>
      <c r="P16" s="1">
        <v>0.07</v>
      </c>
      <c r="Q16" s="4"/>
      <c r="R16" s="4">
        <f t="shared" si="1"/>
        <v>82</v>
      </c>
      <c r="S16" s="4"/>
      <c r="T16" s="4"/>
      <c r="U16" s="4"/>
      <c r="V16" s="4"/>
      <c r="W16" s="4"/>
      <c r="X16" s="4"/>
      <c r="Y16" s="4"/>
      <c r="Z16" s="4"/>
      <c r="AA16" s="4"/>
    </row>
    <row r="17">
      <c r="A17" s="5" t="s">
        <v>60</v>
      </c>
      <c r="B17" s="7" t="s">
        <v>61</v>
      </c>
      <c r="C17" s="5" t="s">
        <v>60</v>
      </c>
      <c r="D17" s="1" t="s">
        <v>43</v>
      </c>
      <c r="E17" s="7" t="s">
        <v>21</v>
      </c>
      <c r="F17" s="7" t="s">
        <v>22</v>
      </c>
      <c r="G17" s="1">
        <v>50.0</v>
      </c>
      <c r="H17" s="1">
        <v>0.07</v>
      </c>
      <c r="I17" s="1">
        <v>0.02</v>
      </c>
      <c r="J17" s="1">
        <v>0.0</v>
      </c>
      <c r="K17" s="2">
        <v>28.0</v>
      </c>
      <c r="L17" s="3">
        <v>35.0</v>
      </c>
      <c r="M17" s="3">
        <v>1.0</v>
      </c>
      <c r="N17" s="1">
        <v>0.1</v>
      </c>
      <c r="O17" s="1">
        <v>1.1</v>
      </c>
      <c r="P17" s="1">
        <v>0.07</v>
      </c>
      <c r="Q17" s="4"/>
      <c r="R17" s="4">
        <f t="shared" si="1"/>
        <v>82</v>
      </c>
      <c r="S17" s="4"/>
      <c r="T17" s="4"/>
      <c r="U17" s="4"/>
      <c r="V17" s="4"/>
      <c r="W17" s="4"/>
      <c r="X17" s="4"/>
      <c r="Y17" s="4"/>
      <c r="Z17" s="4"/>
      <c r="AA17" s="4"/>
    </row>
    <row r="18">
      <c r="A18" s="5" t="s">
        <v>62</v>
      </c>
      <c r="B18" s="7" t="s">
        <v>63</v>
      </c>
      <c r="C18" s="5" t="s">
        <v>62</v>
      </c>
      <c r="D18" s="1" t="s">
        <v>43</v>
      </c>
      <c r="E18" s="7" t="s">
        <v>21</v>
      </c>
      <c r="F18" s="7" t="s">
        <v>22</v>
      </c>
      <c r="G18" s="1">
        <v>50.0</v>
      </c>
      <c r="H18" s="1">
        <v>0.07</v>
      </c>
      <c r="I18" s="1">
        <v>0.02</v>
      </c>
      <c r="J18" s="1">
        <v>0.0</v>
      </c>
      <c r="K18" s="2">
        <v>28.0</v>
      </c>
      <c r="L18" s="3">
        <v>35.0</v>
      </c>
      <c r="M18" s="3">
        <v>1.0</v>
      </c>
      <c r="N18" s="1">
        <v>0.1</v>
      </c>
      <c r="O18" s="1">
        <v>1.1</v>
      </c>
      <c r="P18" s="1">
        <v>0.07</v>
      </c>
      <c r="Q18" s="4"/>
      <c r="R18" s="4">
        <f t="shared" si="1"/>
        <v>82</v>
      </c>
      <c r="S18" s="4"/>
      <c r="T18" s="4"/>
      <c r="U18" s="4"/>
      <c r="V18" s="4"/>
      <c r="W18" s="4"/>
      <c r="X18" s="4"/>
      <c r="Y18" s="4"/>
      <c r="Z18" s="4"/>
      <c r="AA18" s="4"/>
    </row>
    <row r="19">
      <c r="A19" s="5" t="s">
        <v>64</v>
      </c>
      <c r="B19" s="7" t="s">
        <v>65</v>
      </c>
      <c r="C19" s="5" t="s">
        <v>64</v>
      </c>
      <c r="D19" s="1" t="s">
        <v>43</v>
      </c>
      <c r="E19" s="7" t="s">
        <v>21</v>
      </c>
      <c r="F19" s="7" t="s">
        <v>22</v>
      </c>
      <c r="G19" s="1">
        <v>50.0</v>
      </c>
      <c r="H19" s="1">
        <v>0.07</v>
      </c>
      <c r="I19" s="1">
        <v>0.02</v>
      </c>
      <c r="J19" s="1">
        <v>0.0</v>
      </c>
      <c r="K19" s="2">
        <v>28.0</v>
      </c>
      <c r="L19" s="3">
        <v>35.0</v>
      </c>
      <c r="M19" s="3">
        <v>1.0</v>
      </c>
      <c r="N19" s="1">
        <v>0.1</v>
      </c>
      <c r="O19" s="1">
        <v>1.1</v>
      </c>
      <c r="P19" s="1">
        <v>0.07</v>
      </c>
      <c r="Q19" s="4"/>
      <c r="R19" s="4">
        <f t="shared" si="1"/>
        <v>82</v>
      </c>
      <c r="S19" s="4"/>
      <c r="T19" s="4"/>
      <c r="U19" s="4"/>
      <c r="V19" s="4"/>
      <c r="W19" s="4"/>
      <c r="X19" s="4"/>
      <c r="Y19" s="4"/>
      <c r="Z19" s="4"/>
      <c r="AA19" s="4"/>
    </row>
    <row r="20">
      <c r="A20" s="5" t="s">
        <v>66</v>
      </c>
      <c r="B20" s="7" t="s">
        <v>67</v>
      </c>
      <c r="C20" s="5" t="s">
        <v>66</v>
      </c>
      <c r="D20" s="1" t="s">
        <v>43</v>
      </c>
      <c r="E20" s="7" t="s">
        <v>21</v>
      </c>
      <c r="F20" s="7" t="s">
        <v>22</v>
      </c>
      <c r="G20" s="1">
        <v>50.0</v>
      </c>
      <c r="H20" s="1">
        <v>0.07</v>
      </c>
      <c r="I20" s="1">
        <v>0.02</v>
      </c>
      <c r="J20" s="1">
        <v>0.0</v>
      </c>
      <c r="K20" s="2">
        <v>28.0</v>
      </c>
      <c r="L20" s="3">
        <v>35.0</v>
      </c>
      <c r="M20" s="3">
        <v>1.0</v>
      </c>
      <c r="N20" s="1">
        <v>0.1</v>
      </c>
      <c r="O20" s="1">
        <v>1.1</v>
      </c>
      <c r="P20" s="1">
        <v>0.07</v>
      </c>
      <c r="Q20" s="4"/>
      <c r="R20" s="4">
        <f t="shared" si="1"/>
        <v>82</v>
      </c>
      <c r="S20" s="4"/>
      <c r="T20" s="4"/>
      <c r="U20" s="4"/>
      <c r="V20" s="4"/>
      <c r="W20" s="4"/>
      <c r="X20" s="4"/>
      <c r="Y20" s="4"/>
      <c r="Z20" s="4"/>
      <c r="AA20" s="4"/>
    </row>
    <row r="21">
      <c r="A21" s="5" t="s">
        <v>68</v>
      </c>
      <c r="B21" s="7" t="s">
        <v>69</v>
      </c>
      <c r="C21" s="5" t="s">
        <v>68</v>
      </c>
      <c r="D21" s="1" t="s">
        <v>43</v>
      </c>
      <c r="E21" s="7" t="s">
        <v>21</v>
      </c>
      <c r="F21" s="7" t="s">
        <v>22</v>
      </c>
      <c r="G21" s="1">
        <v>50.0</v>
      </c>
      <c r="H21" s="1">
        <v>0.07</v>
      </c>
      <c r="I21" s="1">
        <v>0.02</v>
      </c>
      <c r="J21" s="1">
        <v>0.0</v>
      </c>
      <c r="K21" s="2">
        <v>28.0</v>
      </c>
      <c r="L21" s="3">
        <v>35.0</v>
      </c>
      <c r="M21" s="3">
        <v>1.0</v>
      </c>
      <c r="N21" s="1">
        <v>0.1</v>
      </c>
      <c r="O21" s="1">
        <v>1.1</v>
      </c>
      <c r="P21" s="1">
        <v>0.07</v>
      </c>
      <c r="Q21" s="4"/>
      <c r="R21" s="4">
        <f t="shared" si="1"/>
        <v>82</v>
      </c>
      <c r="S21" s="4"/>
      <c r="T21" s="4"/>
      <c r="U21" s="4"/>
      <c r="V21" s="4"/>
      <c r="W21" s="4"/>
      <c r="X21" s="4"/>
      <c r="Y21" s="4"/>
      <c r="Z21" s="4"/>
      <c r="AA21" s="4"/>
    </row>
    <row r="22">
      <c r="A22" s="5" t="s">
        <v>70</v>
      </c>
      <c r="B22" s="7" t="s">
        <v>71</v>
      </c>
      <c r="C22" s="5" t="s">
        <v>70</v>
      </c>
      <c r="D22" s="1" t="s">
        <v>43</v>
      </c>
      <c r="E22" s="7" t="s">
        <v>21</v>
      </c>
      <c r="F22" s="7" t="s">
        <v>22</v>
      </c>
      <c r="G22" s="1">
        <v>50.0</v>
      </c>
      <c r="H22" s="1">
        <v>0.07</v>
      </c>
      <c r="I22" s="1">
        <v>0.02</v>
      </c>
      <c r="J22" s="1">
        <v>0.0</v>
      </c>
      <c r="K22" s="2">
        <v>28.0</v>
      </c>
      <c r="L22" s="3">
        <v>35.0</v>
      </c>
      <c r="M22" s="3">
        <v>1.0</v>
      </c>
      <c r="N22" s="1">
        <v>0.1</v>
      </c>
      <c r="O22" s="1">
        <v>1.1</v>
      </c>
      <c r="P22" s="1">
        <v>0.07</v>
      </c>
      <c r="Q22" s="4"/>
      <c r="R22" s="4">
        <f t="shared" si="1"/>
        <v>82</v>
      </c>
      <c r="S22" s="4"/>
      <c r="T22" s="4"/>
      <c r="U22" s="4"/>
      <c r="V22" s="4"/>
      <c r="W22" s="4"/>
      <c r="X22" s="4"/>
      <c r="Y22" s="4"/>
      <c r="Z22" s="4"/>
      <c r="AA22" s="4"/>
    </row>
    <row r="23">
      <c r="A23" s="5" t="s">
        <v>72</v>
      </c>
      <c r="B23" s="7" t="s">
        <v>73</v>
      </c>
      <c r="C23" s="5" t="s">
        <v>72</v>
      </c>
      <c r="D23" s="1" t="s">
        <v>43</v>
      </c>
      <c r="E23" s="7" t="s">
        <v>21</v>
      </c>
      <c r="F23" s="7" t="s">
        <v>33</v>
      </c>
      <c r="G23" s="1">
        <v>20.0</v>
      </c>
      <c r="H23" s="1">
        <v>0.05</v>
      </c>
      <c r="I23" s="1">
        <v>0.05</v>
      </c>
      <c r="J23" s="1">
        <v>0.0</v>
      </c>
      <c r="K23" s="2">
        <v>45.0</v>
      </c>
      <c r="L23" s="3">
        <v>52.0</v>
      </c>
      <c r="M23" s="1">
        <v>3.0</v>
      </c>
      <c r="N23" s="1">
        <v>0.1</v>
      </c>
      <c r="O23" s="1">
        <v>1.3</v>
      </c>
      <c r="P23" s="1">
        <v>0.1</v>
      </c>
      <c r="Q23" s="4"/>
      <c r="R23" s="4">
        <f t="shared" si="1"/>
        <v>70</v>
      </c>
      <c r="S23" s="4"/>
      <c r="T23" s="4"/>
      <c r="U23" s="4"/>
      <c r="V23" s="4"/>
      <c r="W23" s="4"/>
      <c r="X23" s="4"/>
      <c r="Y23" s="4"/>
      <c r="Z23" s="4"/>
      <c r="AA23" s="4"/>
    </row>
    <row r="24">
      <c r="A24" s="5" t="s">
        <v>74</v>
      </c>
      <c r="B24" s="7" t="s">
        <v>75</v>
      </c>
      <c r="C24" s="5" t="s">
        <v>74</v>
      </c>
      <c r="D24" s="1" t="s">
        <v>43</v>
      </c>
      <c r="E24" s="7" t="s">
        <v>27</v>
      </c>
      <c r="F24" s="8" t="s">
        <v>28</v>
      </c>
      <c r="G24" s="1">
        <v>25.0</v>
      </c>
      <c r="H24" s="1">
        <v>0.03</v>
      </c>
      <c r="I24" s="1">
        <v>0.1</v>
      </c>
      <c r="J24" s="1">
        <v>0.0</v>
      </c>
      <c r="K24" s="2">
        <v>35.0</v>
      </c>
      <c r="L24" s="2">
        <v>35.0</v>
      </c>
      <c r="M24" s="1">
        <v>2.0</v>
      </c>
      <c r="N24" s="1">
        <v>0.08</v>
      </c>
      <c r="O24" s="1">
        <v>1.1</v>
      </c>
      <c r="P24" s="1">
        <v>0.0</v>
      </c>
      <c r="Q24" s="4"/>
      <c r="R24" s="4">
        <f t="shared" si="1"/>
        <v>61</v>
      </c>
      <c r="S24" s="4"/>
      <c r="T24" s="4"/>
      <c r="U24" s="4"/>
      <c r="V24" s="4"/>
      <c r="W24" s="4"/>
      <c r="X24" s="4"/>
      <c r="Y24" s="4"/>
      <c r="Z24" s="4"/>
      <c r="AA24" s="4"/>
    </row>
    <row r="25">
      <c r="A25" s="5" t="s">
        <v>76</v>
      </c>
      <c r="B25" s="7" t="s">
        <v>77</v>
      </c>
      <c r="C25" s="5" t="s">
        <v>76</v>
      </c>
      <c r="D25" s="1" t="s">
        <v>43</v>
      </c>
      <c r="E25" s="7" t="s">
        <v>21</v>
      </c>
      <c r="F25" s="7" t="s">
        <v>22</v>
      </c>
      <c r="G25" s="1">
        <v>50.0</v>
      </c>
      <c r="H25" s="1">
        <v>0.07</v>
      </c>
      <c r="I25" s="1">
        <v>0.02</v>
      </c>
      <c r="J25" s="1">
        <v>0.0</v>
      </c>
      <c r="K25" s="2">
        <v>28.0</v>
      </c>
      <c r="L25" s="3">
        <v>35.0</v>
      </c>
      <c r="M25" s="3">
        <v>1.0</v>
      </c>
      <c r="N25" s="1">
        <v>0.1</v>
      </c>
      <c r="O25" s="1">
        <v>1.1</v>
      </c>
      <c r="P25" s="1">
        <v>0.07</v>
      </c>
      <c r="Q25" s="4"/>
      <c r="R25" s="4">
        <f t="shared" si="1"/>
        <v>82</v>
      </c>
      <c r="S25" s="4"/>
      <c r="T25" s="4"/>
      <c r="U25" s="4"/>
      <c r="V25" s="4"/>
      <c r="W25" s="4"/>
      <c r="X25" s="4"/>
      <c r="Y25" s="4"/>
      <c r="Z25" s="4"/>
      <c r="AA25" s="4"/>
    </row>
    <row r="26">
      <c r="A26" s="5" t="s">
        <v>78</v>
      </c>
      <c r="B26" s="7" t="s">
        <v>79</v>
      </c>
      <c r="C26" s="5" t="s">
        <v>78</v>
      </c>
      <c r="D26" s="1" t="s">
        <v>43</v>
      </c>
      <c r="E26" s="7" t="s">
        <v>38</v>
      </c>
      <c r="F26" s="7" t="s">
        <v>22</v>
      </c>
      <c r="G26" s="1">
        <v>40.0</v>
      </c>
      <c r="H26" s="1">
        <v>0.05</v>
      </c>
      <c r="I26" s="1">
        <v>0.02</v>
      </c>
      <c r="J26" s="1">
        <v>0.0</v>
      </c>
      <c r="K26" s="2">
        <v>25.0</v>
      </c>
      <c r="L26" s="3">
        <v>37.0</v>
      </c>
      <c r="M26" s="3">
        <v>1.0</v>
      </c>
      <c r="N26" s="1">
        <v>0.1</v>
      </c>
      <c r="O26" s="1">
        <v>1.2</v>
      </c>
      <c r="P26" s="1">
        <v>0.09</v>
      </c>
      <c r="Q26" s="4"/>
      <c r="R26" s="4">
        <f t="shared" si="1"/>
        <v>72</v>
      </c>
      <c r="S26" s="4"/>
      <c r="T26" s="4"/>
      <c r="U26" s="4"/>
      <c r="V26" s="4"/>
      <c r="W26" s="4"/>
      <c r="X26" s="4"/>
      <c r="Y26" s="4"/>
      <c r="Z26" s="4"/>
      <c r="AA26" s="4"/>
    </row>
    <row r="27">
      <c r="A27" s="5" t="s">
        <v>80</v>
      </c>
      <c r="B27" s="7" t="s">
        <v>81</v>
      </c>
      <c r="C27" s="5" t="s">
        <v>80</v>
      </c>
      <c r="D27" s="1" t="s">
        <v>43</v>
      </c>
      <c r="E27" s="7" t="s">
        <v>27</v>
      </c>
      <c r="F27" s="8" t="s">
        <v>28</v>
      </c>
      <c r="G27" s="1">
        <v>25.0</v>
      </c>
      <c r="H27" s="1">
        <v>0.03</v>
      </c>
      <c r="I27" s="1">
        <v>0.1</v>
      </c>
      <c r="J27" s="1">
        <v>0.0</v>
      </c>
      <c r="K27" s="2">
        <v>35.0</v>
      </c>
      <c r="L27" s="2">
        <v>35.0</v>
      </c>
      <c r="M27" s="1">
        <v>2.0</v>
      </c>
      <c r="N27" s="1">
        <v>0.08</v>
      </c>
      <c r="O27" s="1">
        <v>1.1</v>
      </c>
      <c r="P27" s="1">
        <v>0.0</v>
      </c>
      <c r="Q27" s="4"/>
      <c r="R27" s="4">
        <f t="shared" si="1"/>
        <v>61</v>
      </c>
      <c r="S27" s="4"/>
      <c r="T27" s="4"/>
      <c r="U27" s="4"/>
      <c r="V27" s="4"/>
      <c r="W27" s="4"/>
      <c r="X27" s="4"/>
      <c r="Y27" s="4"/>
      <c r="Z27" s="4"/>
      <c r="AA27" s="4"/>
    </row>
    <row r="28">
      <c r="A28" s="5" t="s">
        <v>82</v>
      </c>
      <c r="B28" s="7" t="s">
        <v>83</v>
      </c>
      <c r="C28" s="5" t="s">
        <v>82</v>
      </c>
      <c r="D28" s="1" t="s">
        <v>43</v>
      </c>
      <c r="E28" s="7" t="s">
        <v>21</v>
      </c>
      <c r="F28" s="7" t="s">
        <v>33</v>
      </c>
      <c r="G28" s="1">
        <v>20.0</v>
      </c>
      <c r="H28" s="1">
        <v>0.05</v>
      </c>
      <c r="I28" s="1">
        <v>0.05</v>
      </c>
      <c r="J28" s="1">
        <v>0.0</v>
      </c>
      <c r="K28" s="2">
        <v>45.0</v>
      </c>
      <c r="L28" s="3">
        <v>52.0</v>
      </c>
      <c r="M28" s="1">
        <v>3.0</v>
      </c>
      <c r="N28" s="1">
        <v>0.1</v>
      </c>
      <c r="O28" s="1">
        <v>1.3</v>
      </c>
      <c r="P28" s="1">
        <v>0.1</v>
      </c>
      <c r="Q28" s="4"/>
      <c r="R28" s="4">
        <f t="shared" si="1"/>
        <v>70</v>
      </c>
      <c r="S28" s="4"/>
      <c r="T28" s="4"/>
      <c r="U28" s="4"/>
      <c r="V28" s="4"/>
      <c r="W28" s="4"/>
      <c r="X28" s="4"/>
      <c r="Y28" s="4"/>
      <c r="Z28" s="4"/>
      <c r="AA28" s="4"/>
    </row>
    <row r="29">
      <c r="A29" s="5" t="s">
        <v>84</v>
      </c>
      <c r="B29" s="7" t="s">
        <v>85</v>
      </c>
      <c r="C29" s="5" t="s">
        <v>84</v>
      </c>
      <c r="D29" s="1" t="s">
        <v>43</v>
      </c>
      <c r="E29" s="7" t="s">
        <v>21</v>
      </c>
      <c r="F29" s="7" t="s">
        <v>22</v>
      </c>
      <c r="G29" s="1">
        <v>50.0</v>
      </c>
      <c r="H29" s="1">
        <v>0.07</v>
      </c>
      <c r="I29" s="1">
        <v>0.02</v>
      </c>
      <c r="J29" s="1">
        <v>0.0</v>
      </c>
      <c r="K29" s="2">
        <v>28.0</v>
      </c>
      <c r="L29" s="3">
        <v>35.0</v>
      </c>
      <c r="M29" s="3">
        <v>1.0</v>
      </c>
      <c r="N29" s="1">
        <v>0.1</v>
      </c>
      <c r="O29" s="1">
        <v>1.1</v>
      </c>
      <c r="P29" s="1">
        <v>0.07</v>
      </c>
      <c r="Q29" s="4"/>
      <c r="R29" s="4">
        <f t="shared" si="1"/>
        <v>82</v>
      </c>
      <c r="S29" s="4"/>
      <c r="T29" s="4"/>
      <c r="U29" s="4"/>
      <c r="V29" s="4"/>
      <c r="W29" s="4"/>
      <c r="X29" s="4"/>
      <c r="Y29" s="4"/>
      <c r="Z29" s="4"/>
      <c r="AA29" s="4"/>
    </row>
    <row r="30">
      <c r="A30" s="5" t="s">
        <v>86</v>
      </c>
      <c r="B30" s="7" t="s">
        <v>87</v>
      </c>
      <c r="C30" s="5" t="s">
        <v>86</v>
      </c>
      <c r="D30" s="1" t="s">
        <v>43</v>
      </c>
      <c r="E30" s="7" t="s">
        <v>21</v>
      </c>
      <c r="F30" s="7" t="s">
        <v>22</v>
      </c>
      <c r="G30" s="1">
        <v>50.0</v>
      </c>
      <c r="H30" s="1">
        <v>0.07</v>
      </c>
      <c r="I30" s="1">
        <v>0.02</v>
      </c>
      <c r="J30" s="1">
        <v>0.0</v>
      </c>
      <c r="K30" s="2">
        <v>28.0</v>
      </c>
      <c r="L30" s="3">
        <v>35.0</v>
      </c>
      <c r="M30" s="3">
        <v>1.0</v>
      </c>
      <c r="N30" s="1">
        <v>0.1</v>
      </c>
      <c r="O30" s="1">
        <v>1.1</v>
      </c>
      <c r="P30" s="1">
        <v>0.07</v>
      </c>
      <c r="Q30" s="4"/>
      <c r="R30" s="4">
        <f t="shared" si="1"/>
        <v>82</v>
      </c>
      <c r="S30" s="4"/>
      <c r="T30" s="4"/>
      <c r="U30" s="4"/>
      <c r="V30" s="4"/>
      <c r="W30" s="4"/>
      <c r="X30" s="4"/>
      <c r="Y30" s="4"/>
      <c r="Z30" s="4"/>
      <c r="AA30" s="4"/>
    </row>
    <row r="31">
      <c r="A31" s="5" t="s">
        <v>88</v>
      </c>
      <c r="B31" s="7" t="s">
        <v>89</v>
      </c>
      <c r="C31" s="5" t="s">
        <v>88</v>
      </c>
      <c r="D31" s="1" t="s">
        <v>43</v>
      </c>
      <c r="E31" s="7" t="s">
        <v>27</v>
      </c>
      <c r="F31" s="8" t="s">
        <v>28</v>
      </c>
      <c r="G31" s="1">
        <v>25.0</v>
      </c>
      <c r="H31" s="1">
        <v>0.03</v>
      </c>
      <c r="I31" s="1">
        <v>0.1</v>
      </c>
      <c r="J31" s="1">
        <v>0.0</v>
      </c>
      <c r="K31" s="2">
        <v>35.0</v>
      </c>
      <c r="L31" s="2">
        <v>35.0</v>
      </c>
      <c r="M31" s="1">
        <v>2.0</v>
      </c>
      <c r="N31" s="1">
        <v>0.08</v>
      </c>
      <c r="O31" s="1">
        <v>1.1</v>
      </c>
      <c r="P31" s="1">
        <v>0.0</v>
      </c>
      <c r="Q31" s="4"/>
      <c r="R31" s="4">
        <f t="shared" si="1"/>
        <v>61</v>
      </c>
      <c r="S31" s="4"/>
      <c r="T31" s="4"/>
      <c r="U31" s="4"/>
      <c r="V31" s="4"/>
      <c r="W31" s="4"/>
      <c r="X31" s="4"/>
      <c r="Y31" s="4"/>
      <c r="Z31" s="4"/>
      <c r="AA31" s="4"/>
    </row>
    <row r="32">
      <c r="A32" s="5" t="s">
        <v>90</v>
      </c>
      <c r="B32" s="7" t="s">
        <v>91</v>
      </c>
      <c r="C32" s="5" t="s">
        <v>90</v>
      </c>
      <c r="D32" s="1" t="s">
        <v>43</v>
      </c>
      <c r="E32" s="7" t="s">
        <v>21</v>
      </c>
      <c r="F32" s="7" t="s">
        <v>33</v>
      </c>
      <c r="G32" s="1">
        <v>20.0</v>
      </c>
      <c r="H32" s="1">
        <v>0.05</v>
      </c>
      <c r="I32" s="1">
        <v>0.05</v>
      </c>
      <c r="J32" s="1">
        <v>0.0</v>
      </c>
      <c r="K32" s="2">
        <v>45.0</v>
      </c>
      <c r="L32" s="3">
        <v>52.0</v>
      </c>
      <c r="M32" s="1">
        <v>3.0</v>
      </c>
      <c r="N32" s="1">
        <v>0.1</v>
      </c>
      <c r="O32" s="1">
        <v>1.3</v>
      </c>
      <c r="P32" s="1">
        <v>0.1</v>
      </c>
      <c r="Q32" s="4"/>
      <c r="R32" s="4">
        <f t="shared" si="1"/>
        <v>70</v>
      </c>
      <c r="S32" s="4"/>
      <c r="T32" s="4"/>
      <c r="U32" s="4"/>
      <c r="V32" s="4"/>
      <c r="W32" s="4"/>
      <c r="X32" s="4"/>
      <c r="Y32" s="4"/>
      <c r="Z32" s="4"/>
      <c r="AA32" s="4"/>
    </row>
    <row r="33">
      <c r="A33" s="5" t="s">
        <v>92</v>
      </c>
      <c r="B33" s="7" t="s">
        <v>93</v>
      </c>
      <c r="C33" s="5" t="s">
        <v>92</v>
      </c>
      <c r="D33" s="1" t="s">
        <v>43</v>
      </c>
      <c r="E33" s="7" t="s">
        <v>27</v>
      </c>
      <c r="F33" s="8" t="s">
        <v>28</v>
      </c>
      <c r="G33" s="1">
        <v>25.0</v>
      </c>
      <c r="H33" s="1">
        <v>0.03</v>
      </c>
      <c r="I33" s="1">
        <v>0.1</v>
      </c>
      <c r="J33" s="1">
        <v>0.0</v>
      </c>
      <c r="K33" s="2">
        <v>35.0</v>
      </c>
      <c r="L33" s="2">
        <v>35.0</v>
      </c>
      <c r="M33" s="1">
        <v>2.0</v>
      </c>
      <c r="N33" s="1">
        <v>0.08</v>
      </c>
      <c r="O33" s="1">
        <v>1.1</v>
      </c>
      <c r="P33" s="1">
        <v>0.0</v>
      </c>
      <c r="Q33" s="4"/>
      <c r="R33" s="4">
        <f t="shared" si="1"/>
        <v>61</v>
      </c>
      <c r="S33" s="4"/>
      <c r="T33" s="4"/>
      <c r="U33" s="4"/>
      <c r="V33" s="4"/>
      <c r="W33" s="4"/>
      <c r="X33" s="4"/>
      <c r="Y33" s="4"/>
      <c r="Z33" s="4"/>
      <c r="AA33" s="4"/>
    </row>
    <row r="34">
      <c r="A34" s="5" t="s">
        <v>94</v>
      </c>
      <c r="B34" s="7" t="s">
        <v>95</v>
      </c>
      <c r="C34" s="5" t="s">
        <v>94</v>
      </c>
      <c r="D34" s="1" t="s">
        <v>43</v>
      </c>
      <c r="E34" s="7" t="s">
        <v>21</v>
      </c>
      <c r="F34" s="7" t="s">
        <v>22</v>
      </c>
      <c r="G34" s="1">
        <v>50.0</v>
      </c>
      <c r="H34" s="1">
        <v>0.07</v>
      </c>
      <c r="I34" s="1">
        <v>0.02</v>
      </c>
      <c r="J34" s="1">
        <v>0.0</v>
      </c>
      <c r="K34" s="2">
        <v>28.0</v>
      </c>
      <c r="L34" s="3">
        <v>35.0</v>
      </c>
      <c r="M34" s="3">
        <v>1.0</v>
      </c>
      <c r="N34" s="1">
        <v>0.1</v>
      </c>
      <c r="O34" s="1">
        <v>1.1</v>
      </c>
      <c r="P34" s="1">
        <v>0.07</v>
      </c>
      <c r="Q34" s="4"/>
      <c r="R34" s="4">
        <f t="shared" si="1"/>
        <v>82</v>
      </c>
      <c r="S34" s="4"/>
      <c r="T34" s="4"/>
      <c r="U34" s="4"/>
      <c r="V34" s="4"/>
      <c r="W34" s="4"/>
      <c r="X34" s="4"/>
      <c r="Y34" s="4"/>
      <c r="Z34" s="4"/>
      <c r="AA34" s="4"/>
    </row>
    <row r="35">
      <c r="A35" s="5" t="s">
        <v>96</v>
      </c>
      <c r="B35" s="7" t="s">
        <v>97</v>
      </c>
      <c r="C35" s="5" t="s">
        <v>96</v>
      </c>
      <c r="D35" s="1" t="s">
        <v>43</v>
      </c>
      <c r="E35" s="7" t="s">
        <v>27</v>
      </c>
      <c r="F35" s="8" t="s">
        <v>28</v>
      </c>
      <c r="G35" s="1">
        <v>25.0</v>
      </c>
      <c r="H35" s="1">
        <v>0.03</v>
      </c>
      <c r="I35" s="1">
        <v>0.1</v>
      </c>
      <c r="J35" s="1">
        <v>0.0</v>
      </c>
      <c r="K35" s="2">
        <v>35.0</v>
      </c>
      <c r="L35" s="2">
        <v>35.0</v>
      </c>
      <c r="M35" s="1">
        <v>2.0</v>
      </c>
      <c r="N35" s="1">
        <v>0.08</v>
      </c>
      <c r="O35" s="1">
        <v>1.1</v>
      </c>
      <c r="P35" s="1">
        <v>0.0</v>
      </c>
      <c r="Q35" s="4"/>
      <c r="R35" s="4">
        <f t="shared" si="1"/>
        <v>61</v>
      </c>
      <c r="S35" s="4"/>
      <c r="T35" s="4"/>
      <c r="U35" s="4"/>
      <c r="V35" s="4"/>
      <c r="W35" s="4"/>
      <c r="X35" s="4"/>
      <c r="Y35" s="4"/>
      <c r="Z35" s="4"/>
      <c r="AA35" s="4"/>
    </row>
    <row r="36">
      <c r="A36" s="5" t="s">
        <v>98</v>
      </c>
      <c r="B36" s="7" t="s">
        <v>99</v>
      </c>
      <c r="C36" s="5" t="s">
        <v>98</v>
      </c>
      <c r="D36" s="1" t="s">
        <v>43</v>
      </c>
      <c r="E36" s="7" t="s">
        <v>21</v>
      </c>
      <c r="F36" s="7" t="s">
        <v>22</v>
      </c>
      <c r="G36" s="1">
        <v>50.0</v>
      </c>
      <c r="H36" s="1">
        <v>0.07</v>
      </c>
      <c r="I36" s="1">
        <v>0.02</v>
      </c>
      <c r="J36" s="1">
        <v>0.0</v>
      </c>
      <c r="K36" s="2">
        <v>28.0</v>
      </c>
      <c r="L36" s="3">
        <v>35.0</v>
      </c>
      <c r="M36" s="3">
        <v>1.0</v>
      </c>
      <c r="N36" s="1">
        <v>0.1</v>
      </c>
      <c r="O36" s="1">
        <v>1.1</v>
      </c>
      <c r="P36" s="1">
        <v>0.07</v>
      </c>
      <c r="Q36" s="4"/>
      <c r="R36" s="4">
        <f t="shared" si="1"/>
        <v>82</v>
      </c>
      <c r="S36" s="4"/>
      <c r="T36" s="4"/>
      <c r="U36" s="4"/>
      <c r="V36" s="4"/>
      <c r="W36" s="4"/>
      <c r="X36" s="4"/>
      <c r="Y36" s="4"/>
      <c r="Z36" s="4"/>
      <c r="AA36" s="4"/>
    </row>
    <row r="37">
      <c r="A37" s="5" t="s">
        <v>100</v>
      </c>
      <c r="B37" s="7" t="s">
        <v>101</v>
      </c>
      <c r="C37" s="5" t="s">
        <v>100</v>
      </c>
      <c r="D37" s="1" t="s">
        <v>43</v>
      </c>
      <c r="E37" s="7" t="s">
        <v>21</v>
      </c>
      <c r="F37" s="7" t="s">
        <v>22</v>
      </c>
      <c r="G37" s="1">
        <v>50.0</v>
      </c>
      <c r="H37" s="1">
        <v>0.07</v>
      </c>
      <c r="I37" s="1">
        <v>0.02</v>
      </c>
      <c r="J37" s="1">
        <v>0.0</v>
      </c>
      <c r="K37" s="2">
        <v>28.0</v>
      </c>
      <c r="L37" s="3">
        <v>35.0</v>
      </c>
      <c r="M37" s="3">
        <v>1.0</v>
      </c>
      <c r="N37" s="1">
        <v>0.1</v>
      </c>
      <c r="O37" s="1">
        <v>1.1</v>
      </c>
      <c r="P37" s="1">
        <v>0.07</v>
      </c>
      <c r="Q37" s="4"/>
      <c r="R37" s="4">
        <f t="shared" si="1"/>
        <v>82</v>
      </c>
      <c r="S37" s="4"/>
      <c r="T37" s="4"/>
      <c r="U37" s="4"/>
      <c r="V37" s="4"/>
      <c r="W37" s="4"/>
      <c r="X37" s="4"/>
      <c r="Y37" s="4"/>
      <c r="Z37" s="4"/>
      <c r="AA37" s="4"/>
    </row>
    <row r="38">
      <c r="A38" s="5" t="s">
        <v>102</v>
      </c>
      <c r="B38" s="7" t="s">
        <v>103</v>
      </c>
      <c r="C38" s="5" t="s">
        <v>102</v>
      </c>
      <c r="D38" s="1" t="s">
        <v>43</v>
      </c>
      <c r="E38" s="7" t="s">
        <v>21</v>
      </c>
      <c r="F38" s="7" t="s">
        <v>22</v>
      </c>
      <c r="G38" s="1">
        <v>50.0</v>
      </c>
      <c r="H38" s="1">
        <v>0.07</v>
      </c>
      <c r="I38" s="1">
        <v>0.02</v>
      </c>
      <c r="J38" s="1">
        <v>0.0</v>
      </c>
      <c r="K38" s="2">
        <v>28.0</v>
      </c>
      <c r="L38" s="3">
        <v>35.0</v>
      </c>
      <c r="M38" s="3">
        <v>1.0</v>
      </c>
      <c r="N38" s="1">
        <v>0.1</v>
      </c>
      <c r="O38" s="1">
        <v>1.1</v>
      </c>
      <c r="P38" s="1">
        <v>0.07</v>
      </c>
      <c r="Q38" s="4"/>
      <c r="R38" s="4">
        <f t="shared" si="1"/>
        <v>82</v>
      </c>
      <c r="S38" s="4"/>
      <c r="T38" s="4"/>
      <c r="U38" s="4"/>
      <c r="V38" s="4"/>
      <c r="W38" s="4"/>
      <c r="X38" s="4"/>
      <c r="Y38" s="4"/>
      <c r="Z38" s="4"/>
      <c r="AA38" s="4"/>
    </row>
    <row r="39">
      <c r="A39" s="5" t="s">
        <v>104</v>
      </c>
      <c r="B39" s="7" t="s">
        <v>105</v>
      </c>
      <c r="C39" s="5" t="s">
        <v>104</v>
      </c>
      <c r="D39" s="1" t="s">
        <v>43</v>
      </c>
      <c r="E39" s="7" t="s">
        <v>21</v>
      </c>
      <c r="F39" s="7" t="s">
        <v>22</v>
      </c>
      <c r="G39" s="1">
        <v>50.0</v>
      </c>
      <c r="H39" s="1">
        <v>0.07</v>
      </c>
      <c r="I39" s="1">
        <v>0.02</v>
      </c>
      <c r="J39" s="1">
        <v>0.0</v>
      </c>
      <c r="K39" s="2">
        <v>28.0</v>
      </c>
      <c r="L39" s="3">
        <v>35.0</v>
      </c>
      <c r="M39" s="3">
        <v>1.0</v>
      </c>
      <c r="N39" s="1">
        <v>0.1</v>
      </c>
      <c r="O39" s="1">
        <v>1.1</v>
      </c>
      <c r="P39" s="1">
        <v>0.07</v>
      </c>
      <c r="Q39" s="4"/>
      <c r="R39" s="4">
        <f t="shared" si="1"/>
        <v>82</v>
      </c>
      <c r="S39" s="4"/>
      <c r="T39" s="4"/>
      <c r="U39" s="4"/>
      <c r="V39" s="4"/>
      <c r="W39" s="4"/>
      <c r="X39" s="4"/>
      <c r="Y39" s="4"/>
      <c r="Z39" s="4"/>
      <c r="AA39" s="4"/>
    </row>
    <row r="40">
      <c r="A40" s="5" t="s">
        <v>106</v>
      </c>
      <c r="B40" s="7" t="s">
        <v>107</v>
      </c>
      <c r="C40" s="5" t="s">
        <v>106</v>
      </c>
      <c r="D40" s="1" t="s">
        <v>43</v>
      </c>
      <c r="E40" s="7" t="s">
        <v>21</v>
      </c>
      <c r="F40" s="7" t="s">
        <v>22</v>
      </c>
      <c r="G40" s="1">
        <v>50.0</v>
      </c>
      <c r="H40" s="1">
        <v>0.07</v>
      </c>
      <c r="I40" s="1">
        <v>0.02</v>
      </c>
      <c r="J40" s="1">
        <v>0.0</v>
      </c>
      <c r="K40" s="2">
        <v>28.0</v>
      </c>
      <c r="L40" s="3">
        <v>35.0</v>
      </c>
      <c r="M40" s="3">
        <v>1.0</v>
      </c>
      <c r="N40" s="1">
        <v>0.1</v>
      </c>
      <c r="O40" s="1">
        <v>1.1</v>
      </c>
      <c r="P40" s="1">
        <v>0.07</v>
      </c>
      <c r="Q40" s="4"/>
      <c r="R40" s="4">
        <f t="shared" si="1"/>
        <v>82</v>
      </c>
      <c r="S40" s="4"/>
      <c r="T40" s="4"/>
      <c r="U40" s="4"/>
      <c r="V40" s="4"/>
      <c r="W40" s="4"/>
      <c r="X40" s="4"/>
      <c r="Y40" s="4"/>
      <c r="Z40" s="4"/>
      <c r="AA40" s="4"/>
    </row>
    <row r="41">
      <c r="A41" s="5" t="s">
        <v>108</v>
      </c>
      <c r="B41" s="7" t="s">
        <v>109</v>
      </c>
      <c r="C41" s="5" t="s">
        <v>108</v>
      </c>
      <c r="D41" s="1" t="s">
        <v>43</v>
      </c>
      <c r="E41" s="7" t="s">
        <v>21</v>
      </c>
      <c r="F41" s="7" t="s">
        <v>33</v>
      </c>
      <c r="G41" s="1">
        <v>20.0</v>
      </c>
      <c r="H41" s="1">
        <v>0.05</v>
      </c>
      <c r="I41" s="1">
        <v>0.05</v>
      </c>
      <c r="J41" s="1">
        <v>0.0</v>
      </c>
      <c r="K41" s="2">
        <v>45.0</v>
      </c>
      <c r="L41" s="3">
        <v>52.0</v>
      </c>
      <c r="M41" s="1">
        <v>3.0</v>
      </c>
      <c r="N41" s="1">
        <v>0.1</v>
      </c>
      <c r="O41" s="1">
        <v>1.3</v>
      </c>
      <c r="P41" s="1">
        <v>0.1</v>
      </c>
      <c r="Q41" s="4"/>
      <c r="R41" s="4">
        <f t="shared" si="1"/>
        <v>70</v>
      </c>
      <c r="S41" s="4"/>
      <c r="T41" s="4"/>
      <c r="U41" s="4"/>
      <c r="V41" s="4"/>
      <c r="W41" s="4"/>
      <c r="X41" s="4"/>
      <c r="Y41" s="4"/>
      <c r="Z41" s="4"/>
      <c r="AA41" s="4"/>
    </row>
    <row r="42">
      <c r="A42" s="5" t="s">
        <v>110</v>
      </c>
      <c r="B42" s="7" t="s">
        <v>111</v>
      </c>
      <c r="C42" s="5" t="s">
        <v>110</v>
      </c>
      <c r="D42" s="1" t="s">
        <v>43</v>
      </c>
      <c r="E42" s="7" t="s">
        <v>21</v>
      </c>
      <c r="F42" s="7" t="s">
        <v>22</v>
      </c>
      <c r="G42" s="1">
        <v>50.0</v>
      </c>
      <c r="H42" s="1">
        <v>0.07</v>
      </c>
      <c r="I42" s="1">
        <v>0.02</v>
      </c>
      <c r="J42" s="1">
        <v>0.0</v>
      </c>
      <c r="K42" s="2">
        <v>28.0</v>
      </c>
      <c r="L42" s="3">
        <v>35.0</v>
      </c>
      <c r="M42" s="3">
        <v>1.0</v>
      </c>
      <c r="N42" s="1">
        <v>0.1</v>
      </c>
      <c r="O42" s="1">
        <v>1.1</v>
      </c>
      <c r="P42" s="1">
        <v>0.07</v>
      </c>
      <c r="Q42" s="4"/>
      <c r="R42" s="4">
        <f t="shared" si="1"/>
        <v>82</v>
      </c>
      <c r="S42" s="4"/>
      <c r="T42" s="4"/>
      <c r="U42" s="4"/>
      <c r="V42" s="4"/>
      <c r="W42" s="4"/>
      <c r="X42" s="4"/>
      <c r="Y42" s="4"/>
      <c r="Z42" s="4"/>
      <c r="AA42" s="4"/>
    </row>
    <row r="43">
      <c r="A43" s="5" t="s">
        <v>112</v>
      </c>
      <c r="B43" s="7" t="s">
        <v>113</v>
      </c>
      <c r="C43" s="5" t="s">
        <v>112</v>
      </c>
      <c r="D43" s="1" t="s">
        <v>43</v>
      </c>
      <c r="E43" s="7" t="s">
        <v>21</v>
      </c>
      <c r="F43" s="7" t="s">
        <v>22</v>
      </c>
      <c r="G43" s="1">
        <v>50.0</v>
      </c>
      <c r="H43" s="1">
        <v>0.07</v>
      </c>
      <c r="I43" s="1">
        <v>0.02</v>
      </c>
      <c r="J43" s="1">
        <v>0.0</v>
      </c>
      <c r="K43" s="2">
        <v>28.0</v>
      </c>
      <c r="L43" s="3">
        <v>35.0</v>
      </c>
      <c r="M43" s="3">
        <v>1.0</v>
      </c>
      <c r="N43" s="1">
        <v>0.1</v>
      </c>
      <c r="O43" s="1">
        <v>1.1</v>
      </c>
      <c r="P43" s="1">
        <v>0.07</v>
      </c>
      <c r="Q43" s="4"/>
      <c r="R43" s="4">
        <f t="shared" si="1"/>
        <v>82</v>
      </c>
      <c r="S43" s="4"/>
      <c r="T43" s="4"/>
      <c r="U43" s="4"/>
      <c r="V43" s="4"/>
      <c r="W43" s="4"/>
      <c r="X43" s="4"/>
      <c r="Y43" s="4"/>
      <c r="Z43" s="4"/>
      <c r="AA43" s="4"/>
    </row>
    <row r="44">
      <c r="A44" s="5" t="s">
        <v>114</v>
      </c>
      <c r="B44" s="7" t="s">
        <v>115</v>
      </c>
      <c r="C44" s="5" t="s">
        <v>114</v>
      </c>
      <c r="D44" s="1" t="s">
        <v>43</v>
      </c>
      <c r="E44" s="7" t="s">
        <v>21</v>
      </c>
      <c r="F44" s="7" t="s">
        <v>22</v>
      </c>
      <c r="G44" s="1">
        <v>50.0</v>
      </c>
      <c r="H44" s="1">
        <v>0.07</v>
      </c>
      <c r="I44" s="1">
        <v>0.02</v>
      </c>
      <c r="J44" s="1">
        <v>0.0</v>
      </c>
      <c r="K44" s="2">
        <v>28.0</v>
      </c>
      <c r="L44" s="3">
        <v>35.0</v>
      </c>
      <c r="M44" s="3">
        <v>1.0</v>
      </c>
      <c r="N44" s="1">
        <v>0.1</v>
      </c>
      <c r="O44" s="1">
        <v>1.1</v>
      </c>
      <c r="P44" s="1">
        <v>0.07</v>
      </c>
      <c r="Q44" s="4"/>
      <c r="R44" s="4">
        <f t="shared" si="1"/>
        <v>82</v>
      </c>
      <c r="S44" s="4"/>
      <c r="T44" s="4"/>
      <c r="U44" s="4"/>
      <c r="V44" s="4"/>
      <c r="W44" s="4"/>
      <c r="X44" s="4"/>
      <c r="Y44" s="4"/>
      <c r="Z44" s="4"/>
      <c r="AA44" s="4"/>
    </row>
    <row r="45">
      <c r="A45" s="5" t="s">
        <v>116</v>
      </c>
      <c r="B45" s="7" t="s">
        <v>117</v>
      </c>
      <c r="C45" s="5" t="s">
        <v>116</v>
      </c>
      <c r="D45" s="1" t="s">
        <v>43</v>
      </c>
      <c r="E45" s="7" t="s">
        <v>21</v>
      </c>
      <c r="F45" s="7" t="s">
        <v>22</v>
      </c>
      <c r="G45" s="1">
        <v>50.0</v>
      </c>
      <c r="H45" s="1">
        <v>0.07</v>
      </c>
      <c r="I45" s="1">
        <v>0.02</v>
      </c>
      <c r="J45" s="1">
        <v>0.0</v>
      </c>
      <c r="K45" s="2">
        <v>28.0</v>
      </c>
      <c r="L45" s="3">
        <v>35.0</v>
      </c>
      <c r="M45" s="3">
        <v>1.0</v>
      </c>
      <c r="N45" s="1">
        <v>0.1</v>
      </c>
      <c r="O45" s="1">
        <v>1.1</v>
      </c>
      <c r="P45" s="1">
        <v>0.07</v>
      </c>
      <c r="Q45" s="4"/>
      <c r="R45" s="4">
        <f t="shared" si="1"/>
        <v>82</v>
      </c>
      <c r="S45" s="4"/>
      <c r="T45" s="4"/>
      <c r="U45" s="4"/>
      <c r="V45" s="4"/>
      <c r="W45" s="4"/>
      <c r="X45" s="4"/>
      <c r="Y45" s="4"/>
      <c r="Z45" s="4"/>
      <c r="AA45" s="4"/>
    </row>
    <row r="46">
      <c r="A46" s="5" t="s">
        <v>118</v>
      </c>
      <c r="B46" s="7" t="s">
        <v>119</v>
      </c>
      <c r="C46" s="5" t="s">
        <v>118</v>
      </c>
      <c r="D46" s="1" t="s">
        <v>43</v>
      </c>
      <c r="E46" s="7" t="s">
        <v>21</v>
      </c>
      <c r="F46" s="7" t="s">
        <v>33</v>
      </c>
      <c r="G46" s="1">
        <v>20.0</v>
      </c>
      <c r="H46" s="1">
        <v>0.05</v>
      </c>
      <c r="I46" s="1">
        <v>0.05</v>
      </c>
      <c r="J46" s="1">
        <v>0.0</v>
      </c>
      <c r="K46" s="2">
        <v>45.0</v>
      </c>
      <c r="L46" s="3">
        <v>52.0</v>
      </c>
      <c r="M46" s="1">
        <v>3.0</v>
      </c>
      <c r="N46" s="1">
        <v>0.1</v>
      </c>
      <c r="O46" s="1">
        <v>1.3</v>
      </c>
      <c r="P46" s="1">
        <v>0.1</v>
      </c>
      <c r="Q46" s="4"/>
      <c r="R46" s="4">
        <f t="shared" si="1"/>
        <v>70</v>
      </c>
      <c r="S46" s="4"/>
      <c r="T46" s="4"/>
      <c r="U46" s="4"/>
      <c r="V46" s="4"/>
      <c r="W46" s="4"/>
      <c r="X46" s="4"/>
      <c r="Y46" s="4"/>
      <c r="Z46" s="4"/>
      <c r="AA46" s="4"/>
    </row>
    <row r="47">
      <c r="A47" s="5" t="s">
        <v>120</v>
      </c>
      <c r="B47" s="7" t="s">
        <v>121</v>
      </c>
      <c r="C47" s="5" t="s">
        <v>120</v>
      </c>
      <c r="D47" s="1" t="s">
        <v>43</v>
      </c>
      <c r="E47" s="7" t="s">
        <v>21</v>
      </c>
      <c r="F47" s="7" t="s">
        <v>22</v>
      </c>
      <c r="G47" s="1">
        <v>50.0</v>
      </c>
      <c r="H47" s="1">
        <v>0.07</v>
      </c>
      <c r="I47" s="1">
        <v>0.02</v>
      </c>
      <c r="J47" s="1">
        <v>0.0</v>
      </c>
      <c r="K47" s="2">
        <v>28.0</v>
      </c>
      <c r="L47" s="3">
        <v>35.0</v>
      </c>
      <c r="M47" s="3">
        <v>1.0</v>
      </c>
      <c r="N47" s="1">
        <v>0.1</v>
      </c>
      <c r="O47" s="1">
        <v>1.1</v>
      </c>
      <c r="P47" s="1">
        <v>0.07</v>
      </c>
      <c r="Q47" s="4"/>
      <c r="R47" s="4">
        <f t="shared" si="1"/>
        <v>82</v>
      </c>
      <c r="S47" s="4"/>
      <c r="T47" s="4"/>
      <c r="U47" s="4"/>
      <c r="V47" s="4"/>
      <c r="W47" s="4"/>
      <c r="X47" s="4"/>
      <c r="Y47" s="4"/>
      <c r="Z47" s="4"/>
      <c r="AA47" s="4"/>
    </row>
    <row r="48">
      <c r="A48" s="5" t="s">
        <v>122</v>
      </c>
      <c r="B48" s="7" t="s">
        <v>123</v>
      </c>
      <c r="C48" s="5" t="s">
        <v>122</v>
      </c>
      <c r="D48" s="1" t="s">
        <v>43</v>
      </c>
      <c r="E48" s="7" t="s">
        <v>27</v>
      </c>
      <c r="F48" s="8" t="s">
        <v>28</v>
      </c>
      <c r="G48" s="1">
        <v>25.0</v>
      </c>
      <c r="H48" s="1">
        <v>0.03</v>
      </c>
      <c r="I48" s="1">
        <v>0.1</v>
      </c>
      <c r="J48" s="1">
        <v>0.0</v>
      </c>
      <c r="K48" s="2">
        <v>35.0</v>
      </c>
      <c r="L48" s="2">
        <v>35.0</v>
      </c>
      <c r="M48" s="1">
        <v>2.0</v>
      </c>
      <c r="N48" s="1">
        <v>0.08</v>
      </c>
      <c r="O48" s="1">
        <v>1.1</v>
      </c>
      <c r="P48" s="1">
        <v>0.0</v>
      </c>
      <c r="Q48" s="4"/>
      <c r="R48" s="4">
        <f t="shared" si="1"/>
        <v>61</v>
      </c>
      <c r="S48" s="4"/>
      <c r="T48" s="4"/>
      <c r="U48" s="4"/>
      <c r="V48" s="4"/>
      <c r="W48" s="4"/>
      <c r="X48" s="4"/>
      <c r="Y48" s="4"/>
      <c r="Z48" s="4"/>
      <c r="AA48" s="4"/>
    </row>
    <row r="49">
      <c r="A49" s="5" t="s">
        <v>124</v>
      </c>
      <c r="B49" s="7" t="s">
        <v>125</v>
      </c>
      <c r="C49" s="5" t="s">
        <v>124</v>
      </c>
      <c r="D49" s="1" t="s">
        <v>43</v>
      </c>
      <c r="E49" s="7" t="s">
        <v>21</v>
      </c>
      <c r="F49" s="7" t="s">
        <v>22</v>
      </c>
      <c r="G49" s="1">
        <v>50.0</v>
      </c>
      <c r="H49" s="1">
        <v>0.07</v>
      </c>
      <c r="I49" s="1">
        <v>0.02</v>
      </c>
      <c r="J49" s="1">
        <v>0.0</v>
      </c>
      <c r="K49" s="2">
        <v>28.0</v>
      </c>
      <c r="L49" s="3">
        <v>35.0</v>
      </c>
      <c r="M49" s="3">
        <v>1.0</v>
      </c>
      <c r="N49" s="1">
        <v>0.1</v>
      </c>
      <c r="O49" s="1">
        <v>1.1</v>
      </c>
      <c r="P49" s="1">
        <v>0.07</v>
      </c>
      <c r="Q49" s="4"/>
      <c r="R49" s="4">
        <f t="shared" si="1"/>
        <v>82</v>
      </c>
      <c r="S49" s="4"/>
      <c r="T49" s="4"/>
      <c r="U49" s="4"/>
      <c r="V49" s="4"/>
      <c r="W49" s="4"/>
      <c r="X49" s="4"/>
      <c r="Y49" s="4"/>
      <c r="Z49" s="4"/>
      <c r="AA49" s="4"/>
    </row>
    <row r="50">
      <c r="A50" s="5" t="s">
        <v>126</v>
      </c>
      <c r="B50" s="7" t="s">
        <v>127</v>
      </c>
      <c r="C50" s="5" t="s">
        <v>126</v>
      </c>
      <c r="D50" s="1" t="s">
        <v>43</v>
      </c>
      <c r="E50" s="7" t="s">
        <v>21</v>
      </c>
      <c r="F50" s="7" t="s">
        <v>22</v>
      </c>
      <c r="G50" s="1">
        <v>50.0</v>
      </c>
      <c r="H50" s="1">
        <v>0.07</v>
      </c>
      <c r="I50" s="1">
        <v>0.02</v>
      </c>
      <c r="J50" s="1">
        <v>0.0</v>
      </c>
      <c r="K50" s="2">
        <v>28.0</v>
      </c>
      <c r="L50" s="3">
        <v>35.0</v>
      </c>
      <c r="M50" s="3">
        <v>1.0</v>
      </c>
      <c r="N50" s="1">
        <v>0.1</v>
      </c>
      <c r="O50" s="1">
        <v>1.1</v>
      </c>
      <c r="P50" s="1">
        <v>0.07</v>
      </c>
      <c r="Q50" s="4"/>
      <c r="R50" s="4">
        <f t="shared" si="1"/>
        <v>82</v>
      </c>
      <c r="S50" s="4"/>
      <c r="T50" s="4"/>
      <c r="U50" s="4"/>
      <c r="V50" s="4"/>
      <c r="W50" s="4"/>
      <c r="X50" s="4"/>
      <c r="Y50" s="4"/>
      <c r="Z50" s="4"/>
      <c r="AA50" s="4"/>
    </row>
    <row r="51">
      <c r="A51" s="5" t="s">
        <v>128</v>
      </c>
      <c r="B51" s="7" t="s">
        <v>129</v>
      </c>
      <c r="C51" s="5" t="s">
        <v>128</v>
      </c>
      <c r="D51" s="1" t="s">
        <v>43</v>
      </c>
      <c r="E51" s="7" t="s">
        <v>38</v>
      </c>
      <c r="F51" s="7" t="s">
        <v>22</v>
      </c>
      <c r="G51" s="1">
        <v>40.0</v>
      </c>
      <c r="H51" s="1">
        <v>0.05</v>
      </c>
      <c r="I51" s="1">
        <v>0.02</v>
      </c>
      <c r="J51" s="1">
        <v>0.0</v>
      </c>
      <c r="K51" s="2">
        <v>25.0</v>
      </c>
      <c r="L51" s="3">
        <v>37.0</v>
      </c>
      <c r="M51" s="3">
        <v>1.0</v>
      </c>
      <c r="N51" s="1">
        <v>0.1</v>
      </c>
      <c r="O51" s="1">
        <v>1.2</v>
      </c>
      <c r="P51" s="1">
        <v>0.09</v>
      </c>
      <c r="Q51" s="4"/>
      <c r="R51" s="4">
        <f t="shared" si="1"/>
        <v>72</v>
      </c>
      <c r="S51" s="4"/>
      <c r="T51" s="4"/>
      <c r="U51" s="4"/>
      <c r="V51" s="4"/>
      <c r="W51" s="4"/>
      <c r="X51" s="4"/>
      <c r="Y51" s="4"/>
      <c r="Z51" s="4"/>
      <c r="AA51" s="4"/>
    </row>
    <row r="52">
      <c r="A52" s="5" t="s">
        <v>130</v>
      </c>
      <c r="B52" s="7" t="s">
        <v>131</v>
      </c>
      <c r="C52" s="5" t="s">
        <v>130</v>
      </c>
      <c r="D52" s="1" t="s">
        <v>43</v>
      </c>
      <c r="E52" s="7" t="s">
        <v>27</v>
      </c>
      <c r="F52" s="8" t="s">
        <v>28</v>
      </c>
      <c r="G52" s="1">
        <v>25.0</v>
      </c>
      <c r="H52" s="1">
        <v>0.03</v>
      </c>
      <c r="I52" s="1">
        <v>0.1</v>
      </c>
      <c r="J52" s="1">
        <v>0.0</v>
      </c>
      <c r="K52" s="2">
        <v>35.0</v>
      </c>
      <c r="L52" s="2">
        <v>35.0</v>
      </c>
      <c r="M52" s="1">
        <v>2.0</v>
      </c>
      <c r="N52" s="1">
        <v>0.08</v>
      </c>
      <c r="O52" s="1">
        <v>1.1</v>
      </c>
      <c r="P52" s="1">
        <v>0.0</v>
      </c>
      <c r="Q52" s="4"/>
      <c r="R52" s="4">
        <f t="shared" si="1"/>
        <v>61</v>
      </c>
      <c r="S52" s="4"/>
      <c r="T52" s="4"/>
      <c r="U52" s="4"/>
      <c r="V52" s="4"/>
      <c r="W52" s="4"/>
      <c r="X52" s="4"/>
      <c r="Y52" s="4"/>
      <c r="Z52" s="4"/>
      <c r="AA52" s="4"/>
    </row>
    <row r="53">
      <c r="A53" s="5" t="s">
        <v>132</v>
      </c>
      <c r="B53" s="7" t="s">
        <v>133</v>
      </c>
      <c r="C53" s="5" t="s">
        <v>132</v>
      </c>
      <c r="D53" s="1" t="s">
        <v>43</v>
      </c>
      <c r="E53" s="7" t="s">
        <v>27</v>
      </c>
      <c r="F53" s="8" t="s">
        <v>28</v>
      </c>
      <c r="G53" s="1">
        <v>25.0</v>
      </c>
      <c r="H53" s="1">
        <v>0.03</v>
      </c>
      <c r="I53" s="1">
        <v>0.1</v>
      </c>
      <c r="J53" s="1">
        <v>0.0</v>
      </c>
      <c r="K53" s="2">
        <v>35.0</v>
      </c>
      <c r="L53" s="2">
        <v>35.0</v>
      </c>
      <c r="M53" s="1">
        <v>2.0</v>
      </c>
      <c r="N53" s="1">
        <v>0.08</v>
      </c>
      <c r="O53" s="1">
        <v>1.1</v>
      </c>
      <c r="P53" s="1">
        <v>0.0</v>
      </c>
      <c r="Q53" s="4"/>
      <c r="R53" s="4">
        <f t="shared" si="1"/>
        <v>61</v>
      </c>
      <c r="S53" s="4"/>
      <c r="T53" s="4"/>
      <c r="U53" s="4"/>
      <c r="V53" s="4"/>
      <c r="W53" s="4"/>
      <c r="X53" s="4"/>
      <c r="Y53" s="4"/>
      <c r="Z53" s="4"/>
      <c r="AA53" s="4"/>
    </row>
    <row r="54">
      <c r="A54" s="5" t="s">
        <v>134</v>
      </c>
      <c r="B54" s="7" t="s">
        <v>135</v>
      </c>
      <c r="C54" s="5" t="s">
        <v>134</v>
      </c>
      <c r="D54" s="1" t="s">
        <v>43</v>
      </c>
      <c r="E54" s="7" t="s">
        <v>21</v>
      </c>
      <c r="F54" s="7" t="s">
        <v>22</v>
      </c>
      <c r="G54" s="1">
        <v>50.0</v>
      </c>
      <c r="H54" s="1">
        <v>0.07</v>
      </c>
      <c r="I54" s="1">
        <v>0.02</v>
      </c>
      <c r="J54" s="1">
        <v>0.0</v>
      </c>
      <c r="K54" s="2">
        <v>28.0</v>
      </c>
      <c r="L54" s="3">
        <v>35.0</v>
      </c>
      <c r="M54" s="3">
        <v>1.0</v>
      </c>
      <c r="N54" s="1">
        <v>0.1</v>
      </c>
      <c r="O54" s="1">
        <v>1.1</v>
      </c>
      <c r="P54" s="1">
        <v>0.07</v>
      </c>
      <c r="Q54" s="4"/>
      <c r="R54" s="4">
        <f t="shared" si="1"/>
        <v>82</v>
      </c>
      <c r="S54" s="4"/>
      <c r="T54" s="4"/>
      <c r="U54" s="4"/>
      <c r="V54" s="4"/>
      <c r="W54" s="4"/>
      <c r="X54" s="4"/>
      <c r="Y54" s="4"/>
      <c r="Z54" s="4"/>
      <c r="AA54" s="4"/>
    </row>
    <row r="55">
      <c r="A55" s="5" t="s">
        <v>136</v>
      </c>
      <c r="B55" s="7" t="s">
        <v>137</v>
      </c>
      <c r="C55" s="5" t="s">
        <v>136</v>
      </c>
      <c r="D55" s="1" t="s">
        <v>43</v>
      </c>
      <c r="E55" s="7" t="s">
        <v>21</v>
      </c>
      <c r="F55" s="7" t="s">
        <v>22</v>
      </c>
      <c r="G55" s="1">
        <v>50.0</v>
      </c>
      <c r="H55" s="1">
        <v>0.07</v>
      </c>
      <c r="I55" s="1">
        <v>0.02</v>
      </c>
      <c r="J55" s="1">
        <v>0.0</v>
      </c>
      <c r="K55" s="2">
        <v>28.0</v>
      </c>
      <c r="L55" s="3">
        <v>35.0</v>
      </c>
      <c r="M55" s="3">
        <v>1.0</v>
      </c>
      <c r="N55" s="1">
        <v>0.1</v>
      </c>
      <c r="O55" s="1">
        <v>1.1</v>
      </c>
      <c r="P55" s="1">
        <v>0.07</v>
      </c>
      <c r="Q55" s="4"/>
      <c r="R55" s="4">
        <f t="shared" si="1"/>
        <v>82</v>
      </c>
      <c r="S55" s="4"/>
      <c r="T55" s="4"/>
      <c r="U55" s="4"/>
      <c r="V55" s="4"/>
      <c r="W55" s="4"/>
      <c r="X55" s="4"/>
      <c r="Y55" s="4"/>
      <c r="Z55" s="4"/>
      <c r="AA55" s="4"/>
    </row>
    <row r="56">
      <c r="A56" s="5" t="s">
        <v>138</v>
      </c>
      <c r="B56" s="7" t="s">
        <v>139</v>
      </c>
      <c r="C56" s="5" t="s">
        <v>138</v>
      </c>
      <c r="D56" s="1" t="s">
        <v>43</v>
      </c>
      <c r="E56" s="7" t="s">
        <v>38</v>
      </c>
      <c r="F56" s="7" t="s">
        <v>22</v>
      </c>
      <c r="G56" s="1">
        <v>40.0</v>
      </c>
      <c r="H56" s="1">
        <v>0.05</v>
      </c>
      <c r="I56" s="1">
        <v>0.02</v>
      </c>
      <c r="J56" s="1">
        <v>0.0</v>
      </c>
      <c r="K56" s="2">
        <v>25.0</v>
      </c>
      <c r="L56" s="3">
        <v>37.0</v>
      </c>
      <c r="M56" s="3">
        <v>1.0</v>
      </c>
      <c r="N56" s="1">
        <v>0.1</v>
      </c>
      <c r="O56" s="1">
        <v>1.2</v>
      </c>
      <c r="P56" s="1">
        <v>0.09</v>
      </c>
      <c r="Q56" s="4"/>
      <c r="R56" s="4">
        <f t="shared" si="1"/>
        <v>72</v>
      </c>
      <c r="S56" s="4"/>
      <c r="T56" s="4"/>
      <c r="U56" s="4"/>
      <c r="V56" s="4"/>
      <c r="W56" s="4"/>
      <c r="X56" s="4"/>
      <c r="Y56" s="4"/>
      <c r="Z56" s="4"/>
      <c r="AA56" s="4"/>
    </row>
    <row r="57">
      <c r="A57" s="5" t="s">
        <v>140</v>
      </c>
      <c r="B57" s="7" t="s">
        <v>141</v>
      </c>
      <c r="C57" s="5" t="s">
        <v>140</v>
      </c>
      <c r="D57" s="1" t="s">
        <v>43</v>
      </c>
      <c r="E57" s="7" t="s">
        <v>27</v>
      </c>
      <c r="F57" s="8" t="s">
        <v>28</v>
      </c>
      <c r="G57" s="1">
        <v>25.0</v>
      </c>
      <c r="H57" s="1">
        <v>0.03</v>
      </c>
      <c r="I57" s="1">
        <v>0.1</v>
      </c>
      <c r="J57" s="1">
        <v>0.0</v>
      </c>
      <c r="K57" s="2">
        <v>35.0</v>
      </c>
      <c r="L57" s="2">
        <v>35.0</v>
      </c>
      <c r="M57" s="1">
        <v>2.0</v>
      </c>
      <c r="N57" s="1">
        <v>0.08</v>
      </c>
      <c r="O57" s="1">
        <v>1.1</v>
      </c>
      <c r="P57" s="1">
        <v>0.0</v>
      </c>
      <c r="Q57" s="4"/>
      <c r="R57" s="4">
        <f t="shared" si="1"/>
        <v>61</v>
      </c>
      <c r="S57" s="4"/>
      <c r="T57" s="4"/>
      <c r="U57" s="4"/>
      <c r="V57" s="4"/>
      <c r="W57" s="4"/>
      <c r="X57" s="4"/>
      <c r="Y57" s="4"/>
      <c r="Z57" s="4"/>
      <c r="AA57" s="4"/>
    </row>
    <row r="58">
      <c r="A58" s="5" t="s">
        <v>142</v>
      </c>
      <c r="B58" s="7" t="s">
        <v>143</v>
      </c>
      <c r="C58" s="5" t="s">
        <v>142</v>
      </c>
      <c r="D58" s="1" t="s">
        <v>43</v>
      </c>
      <c r="E58" s="7" t="s">
        <v>21</v>
      </c>
      <c r="F58" s="7" t="s">
        <v>22</v>
      </c>
      <c r="G58" s="1">
        <v>50.0</v>
      </c>
      <c r="H58" s="1">
        <v>0.07</v>
      </c>
      <c r="I58" s="1">
        <v>0.02</v>
      </c>
      <c r="J58" s="1">
        <v>0.0</v>
      </c>
      <c r="K58" s="2">
        <v>28.0</v>
      </c>
      <c r="L58" s="3">
        <v>35.0</v>
      </c>
      <c r="M58" s="3">
        <v>1.0</v>
      </c>
      <c r="N58" s="1">
        <v>0.1</v>
      </c>
      <c r="O58" s="1">
        <v>1.1</v>
      </c>
      <c r="P58" s="1">
        <v>0.07</v>
      </c>
      <c r="Q58" s="4"/>
      <c r="R58" s="4">
        <f t="shared" si="1"/>
        <v>82</v>
      </c>
      <c r="S58" s="4"/>
      <c r="T58" s="4"/>
      <c r="U58" s="4"/>
      <c r="V58" s="4"/>
      <c r="W58" s="4"/>
      <c r="X58" s="4"/>
      <c r="Y58" s="4"/>
      <c r="Z58" s="4"/>
      <c r="AA58" s="4"/>
    </row>
    <row r="59">
      <c r="A59" s="5" t="s">
        <v>144</v>
      </c>
      <c r="B59" s="7" t="s">
        <v>145</v>
      </c>
      <c r="C59" s="5" t="s">
        <v>144</v>
      </c>
      <c r="D59" s="1" t="s">
        <v>43</v>
      </c>
      <c r="E59" s="7" t="s">
        <v>27</v>
      </c>
      <c r="F59" s="8" t="s">
        <v>28</v>
      </c>
      <c r="G59" s="1">
        <v>25.0</v>
      </c>
      <c r="H59" s="1">
        <v>0.03</v>
      </c>
      <c r="I59" s="1">
        <v>0.1</v>
      </c>
      <c r="J59" s="1">
        <v>0.0</v>
      </c>
      <c r="K59" s="2">
        <v>35.0</v>
      </c>
      <c r="L59" s="2">
        <v>35.0</v>
      </c>
      <c r="M59" s="1">
        <v>2.0</v>
      </c>
      <c r="N59" s="1">
        <v>0.08</v>
      </c>
      <c r="O59" s="1">
        <v>1.1</v>
      </c>
      <c r="P59" s="1">
        <v>0.0</v>
      </c>
      <c r="Q59" s="4"/>
      <c r="R59" s="4">
        <f t="shared" si="1"/>
        <v>61</v>
      </c>
      <c r="S59" s="4"/>
      <c r="T59" s="4"/>
      <c r="U59" s="4"/>
      <c r="V59" s="4"/>
      <c r="W59" s="4"/>
      <c r="X59" s="4"/>
      <c r="Y59" s="4"/>
      <c r="Z59" s="4"/>
      <c r="AA59" s="4"/>
    </row>
    <row r="60">
      <c r="A60" s="5" t="s">
        <v>146</v>
      </c>
      <c r="B60" s="7" t="s">
        <v>147</v>
      </c>
      <c r="C60" s="5" t="s">
        <v>146</v>
      </c>
      <c r="D60" s="1" t="s">
        <v>43</v>
      </c>
      <c r="E60" s="7" t="s">
        <v>27</v>
      </c>
      <c r="F60" s="8" t="s">
        <v>28</v>
      </c>
      <c r="G60" s="1">
        <v>25.0</v>
      </c>
      <c r="H60" s="1">
        <v>0.03</v>
      </c>
      <c r="I60" s="1">
        <v>0.1</v>
      </c>
      <c r="J60" s="1">
        <v>0.0</v>
      </c>
      <c r="K60" s="2">
        <v>35.0</v>
      </c>
      <c r="L60" s="2">
        <v>35.0</v>
      </c>
      <c r="M60" s="1">
        <v>2.0</v>
      </c>
      <c r="N60" s="1">
        <v>0.08</v>
      </c>
      <c r="O60" s="1">
        <v>1.1</v>
      </c>
      <c r="P60" s="1">
        <v>0.0</v>
      </c>
      <c r="Q60" s="4"/>
      <c r="R60" s="4">
        <f t="shared" si="1"/>
        <v>61</v>
      </c>
      <c r="S60" s="4"/>
      <c r="T60" s="4"/>
      <c r="U60" s="4"/>
      <c r="V60" s="4"/>
      <c r="W60" s="4"/>
      <c r="X60" s="4"/>
      <c r="Y60" s="4"/>
      <c r="Z60" s="4"/>
      <c r="AA60" s="4"/>
    </row>
    <row r="61">
      <c r="A61" s="5" t="s">
        <v>148</v>
      </c>
      <c r="B61" s="7" t="s">
        <v>149</v>
      </c>
      <c r="C61" s="5" t="s">
        <v>148</v>
      </c>
      <c r="D61" s="1" t="s">
        <v>43</v>
      </c>
      <c r="E61" s="7" t="s">
        <v>27</v>
      </c>
      <c r="F61" s="8" t="s">
        <v>28</v>
      </c>
      <c r="G61" s="1">
        <v>25.0</v>
      </c>
      <c r="H61" s="1">
        <v>0.03</v>
      </c>
      <c r="I61" s="1">
        <v>0.1</v>
      </c>
      <c r="J61" s="1">
        <v>0.0</v>
      </c>
      <c r="K61" s="2">
        <v>35.0</v>
      </c>
      <c r="L61" s="2">
        <v>35.0</v>
      </c>
      <c r="M61" s="1">
        <v>2.0</v>
      </c>
      <c r="N61" s="1">
        <v>0.08</v>
      </c>
      <c r="O61" s="1">
        <v>1.1</v>
      </c>
      <c r="P61" s="1">
        <v>0.0</v>
      </c>
      <c r="Q61" s="4"/>
      <c r="R61" s="4">
        <f t="shared" si="1"/>
        <v>61</v>
      </c>
      <c r="S61" s="4"/>
      <c r="T61" s="4"/>
      <c r="U61" s="4"/>
      <c r="V61" s="4"/>
      <c r="W61" s="4"/>
      <c r="X61" s="4"/>
      <c r="Y61" s="4"/>
      <c r="Z61" s="4"/>
      <c r="AA61" s="4"/>
    </row>
    <row r="62">
      <c r="A62" s="5" t="s">
        <v>150</v>
      </c>
      <c r="B62" s="7" t="s">
        <v>151</v>
      </c>
      <c r="C62" s="5" t="s">
        <v>150</v>
      </c>
      <c r="D62" s="1" t="s">
        <v>43</v>
      </c>
      <c r="E62" s="7" t="s">
        <v>27</v>
      </c>
      <c r="F62" s="8" t="s">
        <v>28</v>
      </c>
      <c r="G62" s="1">
        <v>25.0</v>
      </c>
      <c r="H62" s="1">
        <v>0.03</v>
      </c>
      <c r="I62" s="1">
        <v>0.1</v>
      </c>
      <c r="J62" s="1">
        <v>0.0</v>
      </c>
      <c r="K62" s="2">
        <v>35.0</v>
      </c>
      <c r="L62" s="2">
        <v>35.0</v>
      </c>
      <c r="M62" s="1">
        <v>2.0</v>
      </c>
      <c r="N62" s="1">
        <v>0.08</v>
      </c>
      <c r="O62" s="1">
        <v>1.1</v>
      </c>
      <c r="P62" s="1">
        <v>0.0</v>
      </c>
      <c r="Q62" s="4"/>
      <c r="R62" s="4">
        <f t="shared" si="1"/>
        <v>61</v>
      </c>
      <c r="S62" s="4"/>
      <c r="T62" s="4"/>
      <c r="U62" s="4"/>
      <c r="V62" s="4"/>
      <c r="W62" s="4"/>
      <c r="X62" s="4"/>
      <c r="Y62" s="4"/>
      <c r="Z62" s="4"/>
      <c r="AA62" s="4"/>
    </row>
    <row r="63">
      <c r="A63" s="5" t="s">
        <v>152</v>
      </c>
      <c r="B63" s="7" t="s">
        <v>153</v>
      </c>
      <c r="C63" s="5" t="s">
        <v>152</v>
      </c>
      <c r="D63" s="1" t="s">
        <v>43</v>
      </c>
      <c r="E63" s="7" t="s">
        <v>21</v>
      </c>
      <c r="F63" s="7" t="s">
        <v>22</v>
      </c>
      <c r="G63" s="1">
        <v>50.0</v>
      </c>
      <c r="H63" s="1">
        <v>0.07</v>
      </c>
      <c r="I63" s="1">
        <v>0.02</v>
      </c>
      <c r="J63" s="1">
        <v>0.0</v>
      </c>
      <c r="K63" s="2">
        <v>28.0</v>
      </c>
      <c r="L63" s="3">
        <v>35.0</v>
      </c>
      <c r="M63" s="3">
        <v>1.0</v>
      </c>
      <c r="N63" s="1">
        <v>0.1</v>
      </c>
      <c r="O63" s="1">
        <v>1.1</v>
      </c>
      <c r="P63" s="1">
        <v>0.07</v>
      </c>
      <c r="Q63" s="4"/>
      <c r="R63" s="4">
        <f t="shared" si="1"/>
        <v>82</v>
      </c>
      <c r="S63" s="4"/>
      <c r="T63" s="4"/>
      <c r="U63" s="4"/>
      <c r="V63" s="4"/>
      <c r="W63" s="4"/>
      <c r="X63" s="4"/>
      <c r="Y63" s="4"/>
      <c r="Z63" s="4"/>
      <c r="AA63" s="4"/>
    </row>
    <row r="64">
      <c r="A64" s="5" t="s">
        <v>154</v>
      </c>
      <c r="B64" s="7" t="s">
        <v>155</v>
      </c>
      <c r="C64" s="5" t="s">
        <v>154</v>
      </c>
      <c r="D64" s="1" t="s">
        <v>43</v>
      </c>
      <c r="E64" s="7" t="s">
        <v>21</v>
      </c>
      <c r="F64" s="7" t="s">
        <v>22</v>
      </c>
      <c r="G64" s="1">
        <v>50.0</v>
      </c>
      <c r="H64" s="1">
        <v>0.07</v>
      </c>
      <c r="I64" s="1">
        <v>0.02</v>
      </c>
      <c r="J64" s="1">
        <v>0.0</v>
      </c>
      <c r="K64" s="2">
        <v>28.0</v>
      </c>
      <c r="L64" s="3">
        <v>35.0</v>
      </c>
      <c r="M64" s="3">
        <v>1.0</v>
      </c>
      <c r="N64" s="1">
        <v>0.1</v>
      </c>
      <c r="O64" s="1">
        <v>1.1</v>
      </c>
      <c r="P64" s="1">
        <v>0.07</v>
      </c>
      <c r="Q64" s="4"/>
      <c r="R64" s="4">
        <f t="shared" si="1"/>
        <v>82</v>
      </c>
      <c r="S64" s="4"/>
      <c r="T64" s="4"/>
      <c r="U64" s="4"/>
      <c r="V64" s="4"/>
      <c r="W64" s="4"/>
      <c r="X64" s="4"/>
      <c r="Y64" s="4"/>
      <c r="Z64" s="4"/>
      <c r="AA64" s="4"/>
    </row>
    <row r="65">
      <c r="A65" s="5" t="s">
        <v>156</v>
      </c>
      <c r="B65" s="7" t="s">
        <v>157</v>
      </c>
      <c r="C65" s="5" t="s">
        <v>156</v>
      </c>
      <c r="D65" s="1" t="s">
        <v>43</v>
      </c>
      <c r="E65" s="7" t="s">
        <v>27</v>
      </c>
      <c r="F65" s="8" t="s">
        <v>28</v>
      </c>
      <c r="G65" s="1">
        <v>25.0</v>
      </c>
      <c r="H65" s="1">
        <v>0.03</v>
      </c>
      <c r="I65" s="1">
        <v>0.1</v>
      </c>
      <c r="J65" s="1">
        <v>0.0</v>
      </c>
      <c r="K65" s="2">
        <v>35.0</v>
      </c>
      <c r="L65" s="2">
        <v>35.0</v>
      </c>
      <c r="M65" s="1">
        <v>2.0</v>
      </c>
      <c r="N65" s="1">
        <v>0.08</v>
      </c>
      <c r="O65" s="1">
        <v>1.1</v>
      </c>
      <c r="P65" s="1">
        <v>0.0</v>
      </c>
      <c r="Q65" s="4"/>
      <c r="R65" s="4">
        <f t="shared" si="1"/>
        <v>61</v>
      </c>
      <c r="S65" s="4"/>
      <c r="T65" s="4"/>
      <c r="U65" s="4"/>
      <c r="V65" s="4"/>
      <c r="W65" s="4"/>
      <c r="X65" s="4"/>
      <c r="Y65" s="4"/>
      <c r="Z65" s="4"/>
      <c r="AA65" s="4"/>
    </row>
    <row r="66">
      <c r="A66" s="5" t="s">
        <v>158</v>
      </c>
      <c r="B66" s="7" t="s">
        <v>159</v>
      </c>
      <c r="C66" s="5" t="s">
        <v>158</v>
      </c>
      <c r="D66" s="1" t="s">
        <v>43</v>
      </c>
      <c r="E66" s="7" t="s">
        <v>27</v>
      </c>
      <c r="F66" s="8" t="s">
        <v>28</v>
      </c>
      <c r="G66" s="1">
        <v>25.0</v>
      </c>
      <c r="H66" s="1">
        <v>0.03</v>
      </c>
      <c r="I66" s="1">
        <v>0.1</v>
      </c>
      <c r="J66" s="1">
        <v>0.0</v>
      </c>
      <c r="K66" s="2">
        <v>35.0</v>
      </c>
      <c r="L66" s="2">
        <v>35.0</v>
      </c>
      <c r="M66" s="1">
        <v>2.0</v>
      </c>
      <c r="N66" s="1">
        <v>0.08</v>
      </c>
      <c r="O66" s="1">
        <v>1.1</v>
      </c>
      <c r="P66" s="1">
        <v>0.0</v>
      </c>
      <c r="Q66" s="4"/>
      <c r="R66" s="4">
        <f t="shared" si="1"/>
        <v>61</v>
      </c>
      <c r="S66" s="4"/>
      <c r="T66" s="4"/>
      <c r="U66" s="4"/>
      <c r="V66" s="4"/>
      <c r="W66" s="4"/>
      <c r="X66" s="4"/>
      <c r="Y66" s="4"/>
      <c r="Z66" s="4"/>
      <c r="AA66" s="4"/>
    </row>
    <row r="67">
      <c r="A67" s="5" t="s">
        <v>160</v>
      </c>
      <c r="B67" s="7" t="s">
        <v>161</v>
      </c>
      <c r="C67" s="5" t="s">
        <v>160</v>
      </c>
      <c r="D67" s="1" t="s">
        <v>43</v>
      </c>
      <c r="E67" s="7" t="s">
        <v>27</v>
      </c>
      <c r="F67" s="8" t="s">
        <v>28</v>
      </c>
      <c r="G67" s="1">
        <v>25.0</v>
      </c>
      <c r="H67" s="1">
        <v>0.03</v>
      </c>
      <c r="I67" s="1">
        <v>0.1</v>
      </c>
      <c r="J67" s="1">
        <v>0.0</v>
      </c>
      <c r="K67" s="2">
        <v>35.0</v>
      </c>
      <c r="L67" s="2">
        <v>35.0</v>
      </c>
      <c r="M67" s="1">
        <v>2.0</v>
      </c>
      <c r="N67" s="1">
        <v>0.08</v>
      </c>
      <c r="O67" s="1">
        <v>1.1</v>
      </c>
      <c r="P67" s="1">
        <v>0.0</v>
      </c>
      <c r="Q67" s="4"/>
      <c r="R67" s="4">
        <f t="shared" si="1"/>
        <v>61</v>
      </c>
      <c r="S67" s="4"/>
      <c r="T67" s="4"/>
      <c r="U67" s="4"/>
      <c r="V67" s="4"/>
      <c r="W67" s="4"/>
      <c r="X67" s="4"/>
      <c r="Y67" s="4"/>
      <c r="Z67" s="4"/>
      <c r="AA67" s="4"/>
    </row>
    <row r="68">
      <c r="A68" s="5" t="s">
        <v>162</v>
      </c>
      <c r="B68" s="7" t="s">
        <v>163</v>
      </c>
      <c r="C68" s="5" t="s">
        <v>162</v>
      </c>
      <c r="D68" s="1" t="s">
        <v>43</v>
      </c>
      <c r="E68" s="7" t="s">
        <v>27</v>
      </c>
      <c r="F68" s="8" t="s">
        <v>28</v>
      </c>
      <c r="G68" s="1">
        <v>25.0</v>
      </c>
      <c r="H68" s="1">
        <v>0.03</v>
      </c>
      <c r="I68" s="1">
        <v>0.1</v>
      </c>
      <c r="J68" s="1">
        <v>0.0</v>
      </c>
      <c r="K68" s="2">
        <v>35.0</v>
      </c>
      <c r="L68" s="2">
        <v>35.0</v>
      </c>
      <c r="M68" s="1">
        <v>2.0</v>
      </c>
      <c r="N68" s="1">
        <v>0.08</v>
      </c>
      <c r="O68" s="1">
        <v>1.1</v>
      </c>
      <c r="P68" s="1">
        <v>0.0</v>
      </c>
      <c r="Q68" s="4"/>
      <c r="R68" s="4">
        <f t="shared" si="1"/>
        <v>61</v>
      </c>
      <c r="S68" s="4"/>
      <c r="T68" s="4"/>
      <c r="U68" s="4"/>
      <c r="V68" s="4"/>
      <c r="W68" s="4"/>
      <c r="X68" s="4"/>
      <c r="Y68" s="4"/>
      <c r="Z68" s="4"/>
      <c r="AA68" s="4"/>
    </row>
    <row r="69">
      <c r="A69" s="5" t="s">
        <v>164</v>
      </c>
      <c r="B69" s="7" t="s">
        <v>165</v>
      </c>
      <c r="C69" s="5" t="s">
        <v>164</v>
      </c>
      <c r="D69" s="1" t="s">
        <v>43</v>
      </c>
      <c r="E69" s="7" t="s">
        <v>27</v>
      </c>
      <c r="F69" s="8" t="s">
        <v>28</v>
      </c>
      <c r="G69" s="1">
        <v>25.0</v>
      </c>
      <c r="H69" s="1">
        <v>0.03</v>
      </c>
      <c r="I69" s="1">
        <v>0.1</v>
      </c>
      <c r="J69" s="1">
        <v>0.0</v>
      </c>
      <c r="K69" s="2">
        <v>35.0</v>
      </c>
      <c r="L69" s="2">
        <v>35.0</v>
      </c>
      <c r="M69" s="1">
        <v>2.0</v>
      </c>
      <c r="N69" s="1">
        <v>0.08</v>
      </c>
      <c r="O69" s="1">
        <v>1.1</v>
      </c>
      <c r="P69" s="1">
        <v>0.0</v>
      </c>
      <c r="Q69" s="4"/>
      <c r="R69" s="4">
        <f t="shared" si="1"/>
        <v>61</v>
      </c>
      <c r="S69" s="4"/>
      <c r="T69" s="4"/>
      <c r="U69" s="4"/>
      <c r="V69" s="4"/>
      <c r="W69" s="4"/>
      <c r="X69" s="4"/>
      <c r="Y69" s="4"/>
      <c r="Z69" s="4"/>
      <c r="AA69" s="4"/>
    </row>
    <row r="70">
      <c r="A70" s="5" t="s">
        <v>166</v>
      </c>
      <c r="B70" s="7" t="s">
        <v>167</v>
      </c>
      <c r="C70" s="5" t="s">
        <v>166</v>
      </c>
      <c r="D70" s="1" t="s">
        <v>43</v>
      </c>
      <c r="E70" s="7" t="s">
        <v>27</v>
      </c>
      <c r="F70" s="8" t="s">
        <v>28</v>
      </c>
      <c r="G70" s="1">
        <v>25.0</v>
      </c>
      <c r="H70" s="1">
        <v>0.03</v>
      </c>
      <c r="I70" s="1">
        <v>0.1</v>
      </c>
      <c r="J70" s="1">
        <v>0.0</v>
      </c>
      <c r="K70" s="2">
        <v>35.0</v>
      </c>
      <c r="L70" s="2">
        <v>35.0</v>
      </c>
      <c r="M70" s="1">
        <v>2.0</v>
      </c>
      <c r="N70" s="1">
        <v>0.08</v>
      </c>
      <c r="O70" s="1">
        <v>1.1</v>
      </c>
      <c r="P70" s="1">
        <v>0.0</v>
      </c>
      <c r="Q70" s="4"/>
      <c r="R70" s="4">
        <f t="shared" si="1"/>
        <v>61</v>
      </c>
      <c r="S70" s="4"/>
      <c r="T70" s="4"/>
      <c r="U70" s="4"/>
      <c r="V70" s="4"/>
      <c r="W70" s="4"/>
      <c r="X70" s="4"/>
      <c r="Y70" s="4"/>
      <c r="Z70" s="4"/>
      <c r="AA70" s="4"/>
    </row>
    <row r="71">
      <c r="A71" s="5" t="s">
        <v>168</v>
      </c>
      <c r="B71" s="7" t="s">
        <v>169</v>
      </c>
      <c r="C71" s="5" t="s">
        <v>168</v>
      </c>
      <c r="D71" s="1" t="s">
        <v>43</v>
      </c>
      <c r="E71" s="7" t="s">
        <v>27</v>
      </c>
      <c r="F71" s="8" t="s">
        <v>28</v>
      </c>
      <c r="G71" s="1">
        <v>25.0</v>
      </c>
      <c r="H71" s="1">
        <v>0.03</v>
      </c>
      <c r="I71" s="1">
        <v>0.1</v>
      </c>
      <c r="J71" s="1">
        <v>0.0</v>
      </c>
      <c r="K71" s="2">
        <v>35.0</v>
      </c>
      <c r="L71" s="2">
        <v>35.0</v>
      </c>
      <c r="M71" s="1">
        <v>2.0</v>
      </c>
      <c r="N71" s="1">
        <v>0.08</v>
      </c>
      <c r="O71" s="1">
        <v>1.1</v>
      </c>
      <c r="P71" s="1">
        <v>0.0</v>
      </c>
      <c r="Q71" s="4"/>
      <c r="R71" s="4">
        <f t="shared" si="1"/>
        <v>61</v>
      </c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9"/>
      <c r="L72" s="10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9"/>
      <c r="L73" s="10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9"/>
      <c r="L74" s="10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9"/>
      <c r="L75" s="10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9"/>
      <c r="L76" s="10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9"/>
      <c r="L77" s="10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9"/>
      <c r="L78" s="10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9"/>
      <c r="L79" s="10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9"/>
      <c r="L80" s="10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9"/>
      <c r="L81" s="10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9"/>
      <c r="L82" s="10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9"/>
      <c r="L83" s="10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9"/>
      <c r="L84" s="10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9"/>
      <c r="L85" s="10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9"/>
      <c r="L86" s="10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9"/>
      <c r="L87" s="10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9"/>
      <c r="L88" s="10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9"/>
      <c r="L89" s="10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9"/>
      <c r="L90" s="10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9"/>
      <c r="L91" s="10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9"/>
      <c r="L92" s="10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9"/>
      <c r="L93" s="10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9"/>
      <c r="L94" s="10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9"/>
      <c r="L95" s="10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9"/>
      <c r="L96" s="10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9"/>
      <c r="L97" s="10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9"/>
      <c r="L98" s="10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9"/>
      <c r="L99" s="10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9"/>
      <c r="L100" s="10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9"/>
      <c r="L101" s="10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9"/>
      <c r="L102" s="10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9"/>
      <c r="L103" s="10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9"/>
      <c r="L104" s="10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9"/>
      <c r="L105" s="10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9"/>
      <c r="L106" s="10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9"/>
      <c r="L107" s="10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9"/>
      <c r="L108" s="10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9"/>
      <c r="L109" s="10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9"/>
      <c r="L110" s="10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9"/>
      <c r="L111" s="10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9"/>
      <c r="L112" s="10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9"/>
      <c r="L113" s="10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9"/>
      <c r="L114" s="10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9"/>
      <c r="L115" s="10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9"/>
      <c r="L116" s="10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9"/>
      <c r="L117" s="10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9"/>
      <c r="L118" s="10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9"/>
      <c r="L119" s="10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9"/>
      <c r="L120" s="10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9"/>
      <c r="L121" s="10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9"/>
      <c r="L122" s="10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9"/>
      <c r="L123" s="10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9"/>
      <c r="L124" s="10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9"/>
      <c r="L125" s="10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9"/>
      <c r="L126" s="10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9"/>
      <c r="L127" s="10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9"/>
      <c r="L128" s="10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9"/>
      <c r="L129" s="10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9"/>
      <c r="L130" s="10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9"/>
      <c r="L131" s="10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9"/>
      <c r="L132" s="10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9"/>
      <c r="L133" s="10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9"/>
      <c r="L134" s="10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9"/>
      <c r="L135" s="10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9"/>
      <c r="L136" s="10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9"/>
      <c r="L137" s="10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9"/>
      <c r="L138" s="10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9"/>
      <c r="L139" s="10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9"/>
      <c r="L140" s="10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9"/>
      <c r="L141" s="10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9"/>
      <c r="L142" s="10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9"/>
      <c r="L143" s="10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9"/>
      <c r="L144" s="10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9"/>
      <c r="L145" s="10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9"/>
      <c r="L146" s="10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9"/>
      <c r="L147" s="10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9"/>
      <c r="L148" s="10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9"/>
      <c r="L149" s="10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9"/>
      <c r="L150" s="10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9"/>
      <c r="L151" s="10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9"/>
      <c r="L152" s="10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9"/>
      <c r="L153" s="10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9"/>
      <c r="L154" s="10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9"/>
      <c r="L155" s="10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9"/>
      <c r="L156" s="10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9"/>
      <c r="L157" s="10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9"/>
      <c r="L158" s="10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9"/>
      <c r="L159" s="10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9"/>
      <c r="L160" s="10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9"/>
      <c r="L161" s="10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9"/>
      <c r="L162" s="10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9"/>
      <c r="L163" s="10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9"/>
      <c r="L164" s="10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9"/>
      <c r="L165" s="10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9"/>
      <c r="L166" s="10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9"/>
      <c r="L167" s="10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9"/>
      <c r="L168" s="10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9"/>
      <c r="L169" s="10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9"/>
      <c r="L170" s="10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9"/>
      <c r="L171" s="10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9"/>
      <c r="L172" s="10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9"/>
      <c r="L173" s="10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9"/>
      <c r="L174" s="10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9"/>
      <c r="L175" s="10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9"/>
      <c r="L176" s="10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9"/>
      <c r="L177" s="10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9"/>
      <c r="L178" s="10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9"/>
      <c r="L179" s="10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9"/>
      <c r="L180" s="10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9"/>
      <c r="L181" s="10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9"/>
      <c r="L182" s="10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9"/>
      <c r="L183" s="10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9"/>
      <c r="L184" s="10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9"/>
      <c r="L185" s="10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9"/>
      <c r="L186" s="10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9"/>
      <c r="L187" s="10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9"/>
      <c r="L188" s="10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9"/>
      <c r="L189" s="10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9"/>
      <c r="L190" s="10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9"/>
      <c r="L191" s="10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9"/>
      <c r="L192" s="10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9"/>
      <c r="L193" s="10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9"/>
      <c r="L194" s="10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9"/>
      <c r="L195" s="10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9"/>
      <c r="L196" s="10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9"/>
      <c r="L197" s="10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9"/>
      <c r="L198" s="10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9"/>
      <c r="L199" s="10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9"/>
      <c r="L200" s="10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9"/>
      <c r="L201" s="10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9"/>
      <c r="L202" s="10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9"/>
      <c r="L203" s="10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9"/>
      <c r="L204" s="10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9"/>
      <c r="L205" s="10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9"/>
      <c r="L206" s="10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9"/>
      <c r="L207" s="10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9"/>
      <c r="L208" s="10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9"/>
      <c r="L209" s="10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9"/>
      <c r="L210" s="10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9"/>
      <c r="L211" s="10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9"/>
      <c r="L212" s="10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9"/>
      <c r="L213" s="10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9"/>
      <c r="L214" s="10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9"/>
      <c r="L215" s="10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9"/>
      <c r="L216" s="10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9"/>
      <c r="L217" s="10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9"/>
      <c r="L218" s="10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9"/>
      <c r="L219" s="10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9"/>
      <c r="L220" s="10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9"/>
      <c r="L221" s="10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9"/>
      <c r="L222" s="10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9"/>
      <c r="L223" s="10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9"/>
      <c r="L224" s="10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9"/>
      <c r="L225" s="10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9"/>
      <c r="L226" s="10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9"/>
      <c r="L227" s="10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9"/>
      <c r="L228" s="10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9"/>
      <c r="L229" s="10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9"/>
      <c r="L230" s="10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9"/>
      <c r="L231" s="10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9"/>
      <c r="L232" s="10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9"/>
      <c r="L233" s="10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9"/>
      <c r="L234" s="10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9"/>
      <c r="L235" s="10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9"/>
      <c r="L236" s="10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9"/>
      <c r="L237" s="10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9"/>
      <c r="L238" s="10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9"/>
      <c r="L239" s="10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9"/>
      <c r="L240" s="10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9"/>
      <c r="L241" s="10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9"/>
      <c r="L242" s="10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9"/>
      <c r="L243" s="10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9"/>
      <c r="L244" s="10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9"/>
      <c r="L245" s="10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9"/>
      <c r="L246" s="10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9"/>
      <c r="L247" s="10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9"/>
      <c r="L248" s="10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9"/>
      <c r="L249" s="10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9"/>
      <c r="L250" s="10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9"/>
      <c r="L251" s="10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9"/>
      <c r="L252" s="10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9"/>
      <c r="L253" s="10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9"/>
      <c r="L254" s="10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9"/>
      <c r="L255" s="10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9"/>
      <c r="L256" s="10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9"/>
      <c r="L257" s="10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9"/>
      <c r="L258" s="10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9"/>
      <c r="L259" s="10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9"/>
      <c r="L260" s="10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9"/>
      <c r="L261" s="10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9"/>
      <c r="L262" s="10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9"/>
      <c r="L263" s="10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9"/>
      <c r="L264" s="10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9"/>
      <c r="L265" s="10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9"/>
      <c r="L266" s="10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9"/>
      <c r="L267" s="10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9"/>
      <c r="L268" s="10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9"/>
      <c r="L269" s="10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9"/>
      <c r="L270" s="10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9"/>
      <c r="L271" s="10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9"/>
      <c r="L272" s="10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9"/>
      <c r="L273" s="10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9"/>
      <c r="L274" s="10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9"/>
      <c r="L275" s="10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9"/>
      <c r="L276" s="10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9"/>
      <c r="L277" s="10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9"/>
      <c r="L278" s="10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9"/>
      <c r="L279" s="10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9"/>
      <c r="L280" s="10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9"/>
      <c r="L281" s="10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9"/>
      <c r="L282" s="10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9"/>
      <c r="L283" s="10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9"/>
      <c r="L284" s="10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9"/>
      <c r="L285" s="10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9"/>
      <c r="L286" s="10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9"/>
      <c r="L287" s="10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9"/>
      <c r="L288" s="10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9"/>
      <c r="L289" s="10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9"/>
      <c r="L290" s="10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9"/>
      <c r="L291" s="10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9"/>
      <c r="L292" s="10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9"/>
      <c r="L293" s="10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9"/>
      <c r="L294" s="10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9"/>
      <c r="L295" s="10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9"/>
      <c r="L296" s="10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9"/>
      <c r="L297" s="10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9"/>
      <c r="L298" s="10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9"/>
      <c r="L299" s="10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9"/>
      <c r="L300" s="10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9"/>
      <c r="L301" s="10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9"/>
      <c r="L302" s="10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9"/>
      <c r="L303" s="10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9"/>
      <c r="L304" s="10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9"/>
      <c r="L305" s="10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9"/>
      <c r="L306" s="10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9"/>
      <c r="L307" s="10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9"/>
      <c r="L308" s="10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9"/>
      <c r="L309" s="10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9"/>
      <c r="L310" s="10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9"/>
      <c r="L311" s="10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9"/>
      <c r="L312" s="10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9"/>
      <c r="L313" s="10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9"/>
      <c r="L314" s="10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9"/>
      <c r="L315" s="10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9"/>
      <c r="L316" s="10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9"/>
      <c r="L317" s="10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9"/>
      <c r="L318" s="10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9"/>
      <c r="L319" s="10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9"/>
      <c r="L320" s="10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9"/>
      <c r="L321" s="10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9"/>
      <c r="L322" s="10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9"/>
      <c r="L323" s="10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9"/>
      <c r="L324" s="10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9"/>
      <c r="L325" s="10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9"/>
      <c r="L326" s="10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9"/>
      <c r="L327" s="10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9"/>
      <c r="L328" s="10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9"/>
      <c r="L329" s="10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9"/>
      <c r="L330" s="10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9"/>
      <c r="L331" s="10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9"/>
      <c r="L332" s="10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9"/>
      <c r="L333" s="10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9"/>
      <c r="L334" s="10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9"/>
      <c r="L335" s="10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9"/>
      <c r="L336" s="10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9"/>
      <c r="L337" s="10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9"/>
      <c r="L338" s="10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9"/>
      <c r="L339" s="10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9"/>
      <c r="L340" s="10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9"/>
      <c r="L341" s="10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9"/>
      <c r="L342" s="10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9"/>
      <c r="L343" s="10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9"/>
      <c r="L344" s="10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9"/>
      <c r="L345" s="10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9"/>
      <c r="L346" s="10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9"/>
      <c r="L347" s="10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9"/>
      <c r="L348" s="10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9"/>
      <c r="L349" s="10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9"/>
      <c r="L350" s="10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9"/>
      <c r="L351" s="10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9"/>
      <c r="L352" s="10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9"/>
      <c r="L353" s="10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9"/>
      <c r="L354" s="10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9"/>
      <c r="L355" s="10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9"/>
      <c r="L356" s="10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9"/>
      <c r="L357" s="10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9"/>
      <c r="L358" s="10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9"/>
      <c r="L359" s="10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9"/>
      <c r="L360" s="10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9"/>
      <c r="L361" s="10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9"/>
      <c r="L362" s="10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9"/>
      <c r="L363" s="10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9"/>
      <c r="L364" s="10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9"/>
      <c r="L365" s="10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9"/>
      <c r="L366" s="10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9"/>
      <c r="L367" s="10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9"/>
      <c r="L368" s="10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9"/>
      <c r="L369" s="10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9"/>
      <c r="L370" s="10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9"/>
      <c r="L371" s="10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9"/>
      <c r="L372" s="10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9"/>
      <c r="L373" s="10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9"/>
      <c r="L374" s="10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9"/>
      <c r="L375" s="10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9"/>
      <c r="L376" s="10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9"/>
      <c r="L377" s="10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9"/>
      <c r="L378" s="10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9"/>
      <c r="L379" s="10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9"/>
      <c r="L380" s="10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9"/>
      <c r="L381" s="10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9"/>
      <c r="L382" s="10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9"/>
      <c r="L383" s="10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9"/>
      <c r="L384" s="10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9"/>
      <c r="L385" s="10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9"/>
      <c r="L386" s="10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9"/>
      <c r="L387" s="10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9"/>
      <c r="L388" s="10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9"/>
      <c r="L389" s="10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9"/>
      <c r="L390" s="10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9"/>
      <c r="L391" s="10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9"/>
      <c r="L392" s="10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9"/>
      <c r="L393" s="10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9"/>
      <c r="L394" s="10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9"/>
      <c r="L395" s="10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9"/>
      <c r="L396" s="10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9"/>
      <c r="L397" s="10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9"/>
      <c r="L398" s="10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9"/>
      <c r="L399" s="10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9"/>
      <c r="L400" s="10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9"/>
      <c r="L401" s="10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9"/>
      <c r="L402" s="10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9"/>
      <c r="L403" s="10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9"/>
      <c r="L404" s="10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9"/>
      <c r="L405" s="10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9"/>
      <c r="L406" s="10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9"/>
      <c r="L407" s="10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9"/>
      <c r="L408" s="10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9"/>
      <c r="L409" s="10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9"/>
      <c r="L410" s="10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9"/>
      <c r="L411" s="10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9"/>
      <c r="L412" s="10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9"/>
      <c r="L413" s="10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9"/>
      <c r="L414" s="10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9"/>
      <c r="L415" s="10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9"/>
      <c r="L416" s="10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9"/>
      <c r="L417" s="10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9"/>
      <c r="L418" s="10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9"/>
      <c r="L419" s="10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9"/>
      <c r="L420" s="10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9"/>
      <c r="L421" s="10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9"/>
      <c r="L422" s="10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9"/>
      <c r="L423" s="10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9"/>
      <c r="L424" s="10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9"/>
      <c r="L425" s="10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9"/>
      <c r="L426" s="10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9"/>
      <c r="L427" s="10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9"/>
      <c r="L428" s="10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9"/>
      <c r="L429" s="10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9"/>
      <c r="L430" s="10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9"/>
      <c r="L431" s="10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9"/>
      <c r="L432" s="10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9"/>
      <c r="L433" s="10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9"/>
      <c r="L434" s="10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9"/>
      <c r="L435" s="10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9"/>
      <c r="L436" s="10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9"/>
      <c r="L437" s="10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9"/>
      <c r="L438" s="10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9"/>
      <c r="L439" s="10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9"/>
      <c r="L440" s="10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9"/>
      <c r="L441" s="10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9"/>
      <c r="L442" s="10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9"/>
      <c r="L443" s="10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9"/>
      <c r="L444" s="10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9"/>
      <c r="L445" s="10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9"/>
      <c r="L446" s="10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9"/>
      <c r="L447" s="10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9"/>
      <c r="L448" s="10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9"/>
      <c r="L449" s="10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9"/>
      <c r="L450" s="10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9"/>
      <c r="L451" s="10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9"/>
      <c r="L452" s="10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9"/>
      <c r="L453" s="10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9"/>
      <c r="L454" s="10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9"/>
      <c r="L455" s="10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9"/>
      <c r="L456" s="10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9"/>
      <c r="L457" s="10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9"/>
      <c r="L458" s="10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9"/>
      <c r="L459" s="10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9"/>
      <c r="L460" s="10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9"/>
      <c r="L461" s="10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9"/>
      <c r="L462" s="10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9"/>
      <c r="L463" s="10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9"/>
      <c r="L464" s="10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9"/>
      <c r="L465" s="10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9"/>
      <c r="L466" s="10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9"/>
      <c r="L467" s="10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9"/>
      <c r="L468" s="10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9"/>
      <c r="L469" s="10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9"/>
      <c r="L470" s="10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9"/>
      <c r="L471" s="10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9"/>
      <c r="L472" s="10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9"/>
      <c r="L473" s="10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9"/>
      <c r="L474" s="10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9"/>
      <c r="L475" s="10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9"/>
      <c r="L476" s="10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9"/>
      <c r="L477" s="10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9"/>
      <c r="L478" s="10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9"/>
      <c r="L479" s="10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9"/>
      <c r="L480" s="10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9"/>
      <c r="L481" s="10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9"/>
      <c r="L482" s="10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9"/>
      <c r="L483" s="10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9"/>
      <c r="L484" s="10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9"/>
      <c r="L485" s="10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9"/>
      <c r="L486" s="10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9"/>
      <c r="L487" s="10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9"/>
      <c r="L488" s="10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9"/>
      <c r="L489" s="10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9"/>
      <c r="L490" s="10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9"/>
      <c r="L491" s="10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9"/>
      <c r="L492" s="10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9"/>
      <c r="L493" s="10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9"/>
      <c r="L494" s="10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9"/>
      <c r="L495" s="10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9"/>
      <c r="L496" s="10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9"/>
      <c r="L497" s="10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9"/>
      <c r="L498" s="10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9"/>
      <c r="L499" s="10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9"/>
      <c r="L500" s="10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9"/>
      <c r="L501" s="10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9"/>
      <c r="L502" s="10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9"/>
      <c r="L503" s="10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9"/>
      <c r="L504" s="10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9"/>
      <c r="L505" s="10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9"/>
      <c r="L506" s="10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9"/>
      <c r="L507" s="10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9"/>
      <c r="L508" s="10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9"/>
      <c r="L509" s="10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9"/>
      <c r="L510" s="10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9"/>
      <c r="L511" s="10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9"/>
      <c r="L512" s="10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9"/>
      <c r="L513" s="10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9"/>
      <c r="L514" s="10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9"/>
      <c r="L515" s="10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9"/>
      <c r="L516" s="10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9"/>
      <c r="L517" s="10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9"/>
      <c r="L518" s="10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9"/>
      <c r="L519" s="10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9"/>
      <c r="L520" s="10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9"/>
      <c r="L521" s="10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9"/>
      <c r="L522" s="10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9"/>
      <c r="L523" s="10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9"/>
      <c r="L524" s="10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9"/>
      <c r="L525" s="10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9"/>
      <c r="L526" s="10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9"/>
      <c r="L527" s="10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9"/>
      <c r="L528" s="10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9"/>
      <c r="L529" s="10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9"/>
      <c r="L530" s="10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9"/>
      <c r="L531" s="10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9"/>
      <c r="L532" s="10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9"/>
      <c r="L533" s="10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9"/>
      <c r="L534" s="10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9"/>
      <c r="L535" s="10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9"/>
      <c r="L536" s="10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9"/>
      <c r="L537" s="10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9"/>
      <c r="L538" s="10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9"/>
      <c r="L539" s="10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9"/>
      <c r="L540" s="10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9"/>
      <c r="L541" s="10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9"/>
      <c r="L542" s="10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9"/>
      <c r="L543" s="10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9"/>
      <c r="L544" s="10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9"/>
      <c r="L545" s="10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9"/>
      <c r="L546" s="10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9"/>
      <c r="L547" s="10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9"/>
      <c r="L548" s="10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9"/>
      <c r="L549" s="10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9"/>
      <c r="L550" s="10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9"/>
      <c r="L551" s="10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9"/>
      <c r="L552" s="10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9"/>
      <c r="L553" s="10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9"/>
      <c r="L554" s="10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9"/>
      <c r="L555" s="10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9"/>
      <c r="L556" s="10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9"/>
      <c r="L557" s="10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9"/>
      <c r="L558" s="10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9"/>
      <c r="L559" s="10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9"/>
      <c r="L560" s="10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9"/>
      <c r="L561" s="10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9"/>
      <c r="L562" s="10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9"/>
      <c r="L563" s="10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9"/>
      <c r="L564" s="10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9"/>
      <c r="L565" s="10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9"/>
      <c r="L566" s="10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9"/>
      <c r="L567" s="10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9"/>
      <c r="L568" s="10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9"/>
      <c r="L569" s="10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9"/>
      <c r="L570" s="10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9"/>
      <c r="L571" s="10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9"/>
      <c r="L572" s="10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9"/>
      <c r="L573" s="10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9"/>
      <c r="L574" s="10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9"/>
      <c r="L575" s="10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9"/>
      <c r="L576" s="10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9"/>
      <c r="L577" s="10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9"/>
      <c r="L578" s="10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9"/>
      <c r="L579" s="10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9"/>
      <c r="L580" s="10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9"/>
      <c r="L581" s="10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9"/>
      <c r="L582" s="10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9"/>
      <c r="L583" s="10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9"/>
      <c r="L584" s="10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9"/>
      <c r="L585" s="10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9"/>
      <c r="L586" s="10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9"/>
      <c r="L587" s="10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9"/>
      <c r="L588" s="10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9"/>
      <c r="L589" s="10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9"/>
      <c r="L590" s="10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9"/>
      <c r="L591" s="10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9"/>
      <c r="L592" s="10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9"/>
      <c r="L593" s="10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9"/>
      <c r="L594" s="10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9"/>
      <c r="L595" s="10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9"/>
      <c r="L596" s="10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9"/>
      <c r="L597" s="10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9"/>
      <c r="L598" s="10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9"/>
      <c r="L599" s="10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9"/>
      <c r="L600" s="10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9"/>
      <c r="L601" s="10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9"/>
      <c r="L602" s="10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9"/>
      <c r="L603" s="10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9"/>
      <c r="L604" s="10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9"/>
      <c r="L605" s="10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9"/>
      <c r="L606" s="10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9"/>
      <c r="L607" s="10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9"/>
      <c r="L608" s="10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9"/>
      <c r="L609" s="10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9"/>
      <c r="L610" s="10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9"/>
      <c r="L611" s="10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9"/>
      <c r="L612" s="10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9"/>
      <c r="L613" s="10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9"/>
      <c r="L614" s="10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9"/>
      <c r="L615" s="10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9"/>
      <c r="L616" s="10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9"/>
      <c r="L617" s="10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9"/>
      <c r="L618" s="10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9"/>
      <c r="L619" s="10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9"/>
      <c r="L620" s="10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9"/>
      <c r="L621" s="10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9"/>
      <c r="L622" s="10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9"/>
      <c r="L623" s="10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9"/>
      <c r="L624" s="10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9"/>
      <c r="L625" s="10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9"/>
      <c r="L626" s="10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9"/>
      <c r="L627" s="10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9"/>
      <c r="L628" s="10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9"/>
      <c r="L629" s="10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9"/>
      <c r="L630" s="10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9"/>
      <c r="L631" s="10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9"/>
      <c r="L632" s="10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9"/>
      <c r="L633" s="10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9"/>
      <c r="L634" s="10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9"/>
      <c r="L635" s="10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9"/>
      <c r="L636" s="10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9"/>
      <c r="L637" s="10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9"/>
      <c r="L638" s="10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9"/>
      <c r="L639" s="10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9"/>
      <c r="L640" s="10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9"/>
      <c r="L641" s="10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9"/>
      <c r="L642" s="10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9"/>
      <c r="L643" s="10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9"/>
      <c r="L644" s="10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9"/>
      <c r="L645" s="10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9"/>
      <c r="L646" s="10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9"/>
      <c r="L647" s="10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9"/>
      <c r="L648" s="10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9"/>
      <c r="L649" s="10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9"/>
      <c r="L650" s="10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9"/>
      <c r="L651" s="10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9"/>
      <c r="L652" s="10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9"/>
      <c r="L653" s="10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9"/>
      <c r="L654" s="10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9"/>
      <c r="L655" s="10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9"/>
      <c r="L656" s="10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9"/>
      <c r="L657" s="10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9"/>
      <c r="L658" s="10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9"/>
      <c r="L659" s="10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9"/>
      <c r="L660" s="10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9"/>
      <c r="L661" s="10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9"/>
      <c r="L662" s="10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9"/>
      <c r="L663" s="10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9"/>
      <c r="L664" s="10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9"/>
      <c r="L665" s="10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9"/>
      <c r="L666" s="10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9"/>
      <c r="L667" s="10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9"/>
      <c r="L668" s="10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9"/>
      <c r="L669" s="10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9"/>
      <c r="L670" s="10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9"/>
      <c r="L671" s="10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9"/>
      <c r="L672" s="10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9"/>
      <c r="L673" s="10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9"/>
      <c r="L674" s="10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9"/>
      <c r="L675" s="10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9"/>
      <c r="L676" s="10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9"/>
      <c r="L677" s="10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9"/>
      <c r="L678" s="10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9"/>
      <c r="L679" s="10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9"/>
      <c r="L680" s="10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9"/>
      <c r="L681" s="10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9"/>
      <c r="L682" s="10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9"/>
      <c r="L683" s="10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9"/>
      <c r="L684" s="10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9"/>
      <c r="L685" s="10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9"/>
      <c r="L686" s="10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9"/>
      <c r="L687" s="10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9"/>
      <c r="L688" s="10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9"/>
      <c r="L689" s="10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9"/>
      <c r="L690" s="10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9"/>
      <c r="L691" s="10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9"/>
      <c r="L692" s="10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9"/>
      <c r="L693" s="10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9"/>
      <c r="L694" s="10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9"/>
      <c r="L695" s="10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9"/>
      <c r="L696" s="10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9"/>
      <c r="L697" s="10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9"/>
      <c r="L698" s="10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9"/>
      <c r="L699" s="10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9"/>
      <c r="L700" s="10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9"/>
      <c r="L701" s="10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9"/>
      <c r="L702" s="10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9"/>
      <c r="L703" s="10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9"/>
      <c r="L704" s="10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9"/>
      <c r="L705" s="10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9"/>
      <c r="L706" s="10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9"/>
      <c r="L707" s="10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9"/>
      <c r="L708" s="10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9"/>
      <c r="L709" s="10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9"/>
      <c r="L710" s="10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9"/>
      <c r="L711" s="10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9"/>
      <c r="L712" s="10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9"/>
      <c r="L713" s="10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9"/>
      <c r="L714" s="10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9"/>
      <c r="L715" s="10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9"/>
      <c r="L716" s="10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9"/>
      <c r="L717" s="10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9"/>
      <c r="L718" s="10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9"/>
      <c r="L719" s="10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9"/>
      <c r="L720" s="10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9"/>
      <c r="L721" s="10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9"/>
      <c r="L722" s="10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9"/>
      <c r="L723" s="10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9"/>
      <c r="L724" s="10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9"/>
      <c r="L725" s="10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9"/>
      <c r="L726" s="10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9"/>
      <c r="L727" s="10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9"/>
      <c r="L728" s="10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9"/>
      <c r="L729" s="10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9"/>
      <c r="L730" s="10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9"/>
      <c r="L731" s="10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9"/>
      <c r="L732" s="10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9"/>
      <c r="L733" s="10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9"/>
      <c r="L734" s="10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9"/>
      <c r="L735" s="10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9"/>
      <c r="L736" s="10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9"/>
      <c r="L737" s="10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9"/>
      <c r="L738" s="10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9"/>
      <c r="L739" s="10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9"/>
      <c r="L740" s="10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9"/>
      <c r="L741" s="10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9"/>
      <c r="L742" s="10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9"/>
      <c r="L743" s="10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9"/>
      <c r="L744" s="10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9"/>
      <c r="L745" s="10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9"/>
      <c r="L746" s="10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9"/>
      <c r="L747" s="10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9"/>
      <c r="L748" s="10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9"/>
      <c r="L749" s="10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9"/>
      <c r="L750" s="10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9"/>
      <c r="L751" s="10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9"/>
      <c r="L752" s="10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9"/>
      <c r="L753" s="10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9"/>
      <c r="L754" s="10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9"/>
      <c r="L755" s="10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9"/>
      <c r="L756" s="10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9"/>
      <c r="L757" s="10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9"/>
      <c r="L758" s="10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9"/>
      <c r="L759" s="10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9"/>
      <c r="L760" s="10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9"/>
      <c r="L761" s="10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9"/>
      <c r="L762" s="10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9"/>
      <c r="L763" s="10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9"/>
      <c r="L764" s="10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9"/>
      <c r="L765" s="10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9"/>
      <c r="L766" s="10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9"/>
      <c r="L767" s="10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9"/>
      <c r="L768" s="10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9"/>
      <c r="L769" s="10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9"/>
      <c r="L770" s="10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9"/>
      <c r="L771" s="10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9"/>
      <c r="L772" s="10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9"/>
      <c r="L773" s="10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9"/>
      <c r="L774" s="10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9"/>
      <c r="L775" s="10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9"/>
      <c r="L776" s="10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9"/>
      <c r="L777" s="10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9"/>
      <c r="L778" s="10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9"/>
      <c r="L779" s="10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9"/>
      <c r="L780" s="10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9"/>
      <c r="L781" s="10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9"/>
      <c r="L782" s="10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9"/>
      <c r="L783" s="10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9"/>
      <c r="L784" s="10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9"/>
      <c r="L785" s="10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9"/>
      <c r="L786" s="10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9"/>
      <c r="L787" s="10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9"/>
      <c r="L788" s="10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9"/>
      <c r="L789" s="10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9"/>
      <c r="L790" s="10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9"/>
      <c r="L791" s="10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9"/>
      <c r="L792" s="10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9"/>
      <c r="L793" s="10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9"/>
      <c r="L794" s="10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9"/>
      <c r="L795" s="10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9"/>
      <c r="L796" s="10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9"/>
      <c r="L797" s="10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9"/>
      <c r="L798" s="10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9"/>
      <c r="L799" s="10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9"/>
      <c r="L800" s="10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9"/>
      <c r="L801" s="10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9"/>
      <c r="L802" s="10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9"/>
      <c r="L803" s="10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9"/>
      <c r="L804" s="10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9"/>
      <c r="L805" s="10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9"/>
      <c r="L806" s="10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9"/>
      <c r="L807" s="10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9"/>
      <c r="L808" s="10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9"/>
      <c r="L809" s="10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9"/>
      <c r="L810" s="10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9"/>
      <c r="L811" s="10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9"/>
      <c r="L812" s="10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9"/>
      <c r="L813" s="10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9"/>
      <c r="L814" s="10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9"/>
      <c r="L815" s="10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9"/>
      <c r="L816" s="10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9"/>
      <c r="L817" s="10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9"/>
      <c r="L818" s="10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9"/>
      <c r="L819" s="10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9"/>
      <c r="L820" s="10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9"/>
      <c r="L821" s="10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9"/>
      <c r="L822" s="10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9"/>
      <c r="L823" s="10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9"/>
      <c r="L824" s="10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9"/>
      <c r="L825" s="10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9"/>
      <c r="L826" s="10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9"/>
      <c r="L827" s="10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9"/>
      <c r="L828" s="10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9"/>
      <c r="L829" s="10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9"/>
      <c r="L830" s="10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9"/>
      <c r="L831" s="10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9"/>
      <c r="L832" s="10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9"/>
      <c r="L833" s="10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9"/>
      <c r="L834" s="10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9"/>
      <c r="L835" s="10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9"/>
      <c r="L836" s="10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9"/>
      <c r="L837" s="10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9"/>
      <c r="L838" s="10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9"/>
      <c r="L839" s="10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9"/>
      <c r="L840" s="10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9"/>
      <c r="L841" s="10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9"/>
      <c r="L842" s="10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9"/>
      <c r="L843" s="10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9"/>
      <c r="L844" s="10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9"/>
      <c r="L845" s="10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9"/>
      <c r="L846" s="10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9"/>
      <c r="L847" s="10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9"/>
      <c r="L848" s="10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9"/>
      <c r="L849" s="10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9"/>
      <c r="L850" s="10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9"/>
      <c r="L851" s="10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9"/>
      <c r="L852" s="10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9"/>
      <c r="L853" s="10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9"/>
      <c r="L854" s="10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9"/>
      <c r="L855" s="10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9"/>
      <c r="L856" s="10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9"/>
      <c r="L857" s="10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9"/>
      <c r="L858" s="10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9"/>
      <c r="L859" s="10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9"/>
      <c r="L860" s="10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9"/>
      <c r="L861" s="10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9"/>
      <c r="L862" s="10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9"/>
      <c r="L863" s="10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9"/>
      <c r="L864" s="10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9"/>
      <c r="L865" s="10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9"/>
      <c r="L866" s="10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9"/>
      <c r="L867" s="10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9"/>
      <c r="L868" s="10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9"/>
      <c r="L869" s="10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9"/>
      <c r="L870" s="10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9"/>
      <c r="L871" s="10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9"/>
      <c r="L872" s="10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9"/>
      <c r="L873" s="10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9"/>
      <c r="L874" s="10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9"/>
      <c r="L875" s="10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9"/>
      <c r="L876" s="10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9"/>
      <c r="L877" s="10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9"/>
      <c r="L878" s="10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9"/>
      <c r="L879" s="10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9"/>
      <c r="L880" s="10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9"/>
      <c r="L881" s="10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9"/>
      <c r="L882" s="10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9"/>
      <c r="L883" s="10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9"/>
      <c r="L884" s="10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9"/>
      <c r="L885" s="10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9"/>
      <c r="L886" s="10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9"/>
      <c r="L887" s="10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9"/>
      <c r="L888" s="10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9"/>
      <c r="L889" s="10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9"/>
      <c r="L890" s="10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9"/>
      <c r="L891" s="10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9"/>
      <c r="L892" s="10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9"/>
      <c r="L893" s="10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9"/>
      <c r="L894" s="10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9"/>
      <c r="L895" s="10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9"/>
      <c r="L896" s="10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9"/>
      <c r="L897" s="10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9"/>
      <c r="L898" s="10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9"/>
      <c r="L899" s="10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9"/>
      <c r="L900" s="10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9"/>
      <c r="L901" s="10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9"/>
      <c r="L902" s="10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9"/>
      <c r="L903" s="10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9"/>
      <c r="L904" s="10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9"/>
      <c r="L905" s="10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9"/>
      <c r="L906" s="10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9"/>
      <c r="L907" s="10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9"/>
      <c r="L908" s="10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9"/>
      <c r="L909" s="10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9"/>
      <c r="L910" s="10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9"/>
      <c r="L911" s="10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9"/>
      <c r="L912" s="10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9"/>
      <c r="L913" s="10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9"/>
      <c r="L914" s="10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9"/>
      <c r="L915" s="10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9"/>
      <c r="L916" s="10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9"/>
      <c r="L917" s="10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9"/>
      <c r="L918" s="10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9"/>
      <c r="L919" s="10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9"/>
      <c r="L920" s="10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9"/>
      <c r="L921" s="10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9"/>
      <c r="L922" s="10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9"/>
      <c r="L923" s="10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9"/>
      <c r="L924" s="10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9"/>
      <c r="L925" s="10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9"/>
      <c r="L926" s="10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9"/>
      <c r="L927" s="10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9"/>
      <c r="L928" s="10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9"/>
      <c r="L929" s="10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9"/>
      <c r="L930" s="10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9"/>
      <c r="L931" s="10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9"/>
      <c r="L932" s="10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9"/>
      <c r="L933" s="10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9"/>
      <c r="L934" s="10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9"/>
      <c r="L935" s="10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9"/>
      <c r="L936" s="10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9"/>
      <c r="L937" s="10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9"/>
      <c r="L938" s="10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9"/>
      <c r="L939" s="10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9"/>
      <c r="L940" s="10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9"/>
      <c r="L941" s="10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9"/>
      <c r="L942" s="10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9"/>
      <c r="L943" s="10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9"/>
      <c r="L944" s="10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9"/>
      <c r="L945" s="10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9"/>
      <c r="L946" s="10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9"/>
      <c r="L947" s="10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9"/>
      <c r="L948" s="10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9"/>
      <c r="L949" s="10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9"/>
      <c r="L950" s="10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9"/>
      <c r="L951" s="10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9"/>
      <c r="L952" s="10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9"/>
      <c r="L953" s="10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9"/>
      <c r="L954" s="10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9"/>
      <c r="L955" s="10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9"/>
      <c r="L956" s="10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9"/>
      <c r="L957" s="10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9"/>
      <c r="L958" s="10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9"/>
      <c r="L959" s="10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9"/>
      <c r="L960" s="10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9"/>
      <c r="L961" s="10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9"/>
      <c r="L962" s="10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9"/>
      <c r="L963" s="10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9"/>
      <c r="L964" s="10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9"/>
      <c r="L965" s="10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9"/>
      <c r="L966" s="10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9"/>
      <c r="L967" s="10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9"/>
      <c r="L968" s="10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9"/>
      <c r="L969" s="10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9"/>
      <c r="L970" s="10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9"/>
      <c r="L971" s="10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9"/>
      <c r="L972" s="10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9"/>
      <c r="L973" s="10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9"/>
      <c r="L974" s="10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9"/>
      <c r="L975" s="10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9"/>
      <c r="L976" s="10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9"/>
      <c r="L977" s="10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9"/>
      <c r="L978" s="10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9"/>
      <c r="L979" s="10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9"/>
      <c r="L980" s="10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9"/>
      <c r="L981" s="10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9"/>
      <c r="L982" s="10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9"/>
      <c r="L983" s="10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9"/>
      <c r="L984" s="10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9"/>
      <c r="L985" s="10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9"/>
      <c r="L986" s="10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9"/>
      <c r="L987" s="10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9"/>
      <c r="L988" s="10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9"/>
      <c r="L989" s="10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9"/>
      <c r="L990" s="10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9"/>
      <c r="L991" s="10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9"/>
      <c r="L992" s="10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9"/>
      <c r="L993" s="10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9"/>
      <c r="L994" s="10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9"/>
      <c r="L995" s="10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9"/>
      <c r="L996" s="10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9"/>
      <c r="L997" s="10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9"/>
      <c r="L998" s="10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9"/>
      <c r="L999" s="10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dataValidations>
    <dataValidation type="list" allowBlank="1" showErrorMessage="1" sqref="F2:F71">
      <formula1>"Physical,Magical,Pure"</formula1>
    </dataValidation>
    <dataValidation type="decimal" allowBlank="1" showDropDown="1" sqref="H2:J2 J3:J4 H5:J6 N5:N6 P2:P6 J7 H8:J8 N8 P8 J9 H10:J10 N10 P10 J11 H12:J13 N12:N13 P12:P13 J14 H15:J22 N15:N22 P15:P22 J23:J24 H25:J26 N25:N26 P25:P26 J27:J28 H29:J30 N29:N30 P29:P30 J31:J33 H34:J34 N34 P34 J35 H36:J40 N36:N40 P36:P40 J41 H42:J45 N42:N45 P42:P45 J46 H47:J47 N47 P47 J48 H49:J51 N49:N51 P49:P51 J52:J53 H54:J56 N54:N56 P54:P56 J57 H58:J58 N58 P58 J59:J62 H63:J64 N63:N64 P63:P64 J65:J71">
      <formula1>0.0</formula1>
      <formula2>1.0</formula2>
    </dataValidation>
    <dataValidation type="decimal" operator="greaterThanOrEqual" allowBlank="1" showDropDown="1" sqref="K2:M2 K5:M6 K8:M8 K10:M10 K12:M13 K15:M22 K25:M26 K29:M30 K34:M34 K36:M40 K42:M45 K47:M47 K49:M51 K54:M56 K58:M58 K63:M64">
      <formula1>1.0</formula1>
    </dataValidation>
    <dataValidation type="list" allowBlank="1" showErrorMessage="1" sqref="E2:E71">
      <formula1>"Melee,Range,Magic"</formula1>
    </dataValidation>
    <dataValidation type="list" allowBlank="1" showErrorMessage="1" sqref="D2:D71">
      <formula1>"Hero,Ally,Enemy,Neutral"</formula1>
    </dataValidation>
  </dataValidations>
  <drawing r:id="rId1"/>
</worksheet>
</file>